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hidePivotFieldList="1"/>
  <mc:AlternateContent xmlns:mc="http://schemas.openxmlformats.org/markup-compatibility/2006">
    <mc:Choice Requires="x15">
      <x15ac:absPath xmlns:x15ac="http://schemas.microsoft.com/office/spreadsheetml/2010/11/ac" url="https://d.docs.live.net/2BB0CDA57738ECB1/Documents/"/>
    </mc:Choice>
  </mc:AlternateContent>
  <xr:revisionPtr revIDLastSave="14" documentId="8_{89E53B87-BFDC-4A7C-AFA4-EFE8404EDE1D}" xr6:coauthVersionLast="47" xr6:coauthVersionMax="47" xr10:uidLastSave="{600C6AC9-6445-4624-97D9-D9B86AF0C9B4}"/>
  <workbookProtection lockStructure="1"/>
  <bookViews>
    <workbookView xWindow="-108" yWindow="-108" windowWidth="23256" windowHeight="12456" firstSheet="1" activeTab="1" xr2:uid="{35A453E5-5697-4865-9291-684BA19CDEFB}"/>
  </bookViews>
  <sheets>
    <sheet name="Pivot Table" sheetId="1" r:id="rId1"/>
    <sheet name="Dashboard" sheetId="2" r:id="rId2"/>
    <sheet name="Daily ER Patient No." sheetId="3" r:id="rId3"/>
    <sheet name="Daily Wait-Time Trend" sheetId="4" r:id="rId4"/>
    <sheet name="Daily  Rating Trend" sheetId="5" r:id="rId5"/>
  </sheets>
  <definedNames>
    <definedName name="Slicer_Date__Month">#N/A</definedName>
    <definedName name="Slicer_Date__Year">#N/A</definedName>
  </definedNames>
  <calcPr calcId="191028"/>
  <pivotCaches>
    <pivotCache cacheId="762" r:id="rId6"/>
    <pivotCache cacheId="764" r:id="rId7"/>
    <pivotCache cacheId="766" r:id="rId8"/>
    <pivotCache cacheId="768" r:id="rId9"/>
    <pivotCache cacheId="770" r:id="rId10"/>
    <pivotCache cacheId="772" r:id="rId11"/>
    <pivotCache cacheId="774" r:id="rId12"/>
    <pivotCache cacheId="776" r:id="rId13"/>
    <pivotCache cacheId="778" r:id="rId14"/>
    <pivotCache cacheId="780" r:id="rId15"/>
    <pivotCache cacheId="782" r:id="rId16"/>
    <pivotCache cacheId="784" r:id="rId17"/>
    <pivotCache cacheId="786" r:id="rId18"/>
  </pivotCaches>
  <extLst>
    <ext xmlns:x14="http://schemas.microsoft.com/office/spreadsheetml/2009/9/main" uri="{876F7934-8845-4945-9796-88D515C7AA90}">
      <x14:pivotCaches>
        <pivotCache cacheId="73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81ccc83-eab6-4e4d-82b2-56154b37c4a9" name="Hospital Emergency Room Data" connection="Query - Hospital Emergency Room Data"/>
          <x15:modelTable id="Date Table_95d06ca8-b2b0-4aec-8e85-d52f1a1eac1d" name="Date Table" connection="Query - Date Table"/>
        </x15:modelTables>
        <x15:modelRelationships>
          <x15:modelRelationship fromTable="Hospital Emergency Room Data" fromColumn="Patient Admission Date" toTable="Date Table" toColumn="Date"/>
        </x15:modelRelationships>
        <x15:extLst>
          <ext xmlns:x16="http://schemas.microsoft.com/office/spreadsheetml/2014/11/main" uri="{9835A34E-60A6-4A7C-AAB8-D5F71C897F49}">
            <x16:modelTimeGroupings>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 tableName="Date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43" i="1" l="1"/>
  <c r="I43" i="1"/>
  <c r="D49" i="1"/>
  <c r="H46" i="1" s="1"/>
  <c r="E49" i="1"/>
  <c r="I46" i="1" s="1"/>
  <c r="D48" i="1"/>
  <c r="H45" i="1" s="1"/>
  <c r="E48" i="1"/>
  <c r="I45" i="1" s="1"/>
  <c r="E47" i="1"/>
  <c r="I44" i="1" s="1"/>
  <c r="D47" i="1"/>
  <c r="H44"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E78AC4-FE5D-405B-8AA4-172C723B646D}" name="Query - Date Table" description="Connection to the 'Date Table' query in the workbook." type="100" refreshedVersion="8" minRefreshableVersion="5">
    <extLst>
      <ext xmlns:x15="http://schemas.microsoft.com/office/spreadsheetml/2010/11/main" uri="{DE250136-89BD-433C-8126-D09CA5730AF9}">
        <x15:connection id="6c02559e-3cd6-4c50-a942-525f309b0007"/>
      </ext>
    </extLst>
  </connection>
  <connection id="2" xr16:uid="{C66419E3-5D91-4728-B0F0-65943ADD178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998c0f7-2054-47bc-a030-d711ce41dbd5"/>
      </ext>
    </extLst>
  </connection>
  <connection id="3" xr16:uid="{0068CC1D-D21C-4494-959B-2407DE24B6F1}" keepAlive="1" name="Query - Query1" description="Connection to the 'Query1' query in the workbook." type="5" refreshedVersion="0" background="1">
    <dbPr connection="Provider=Microsoft.Mashup.OleDb.1;Data Source=$Workbook$;Location=Query1;Extended Properties=&quot;&quot;" command="SELECT * FROM [Query1]"/>
  </connection>
  <connection id="4" xr16:uid="{642807CC-8399-4287-9F44-18B9DB2C195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<sst xmlns="http://schemas.openxmlformats.org/spreadsheetml/2006/main" count="150" uniqueCount="63">
  <si>
    <t>Count of Patients</t>
  </si>
  <si>
    <t>Row Labels</t>
  </si>
  <si>
    <t>Average Wait-Time</t>
  </si>
  <si>
    <t>Average Satisfaction Score</t>
  </si>
  <si>
    <t>Aug</t>
  </si>
  <si>
    <t>1-Aug</t>
  </si>
  <si>
    <t>2-Aug</t>
  </si>
  <si>
    <t>3-Aug</t>
  </si>
  <si>
    <t>4-Aug</t>
  </si>
  <si>
    <t>5-Aug</t>
  </si>
  <si>
    <t>6-Aug</t>
  </si>
  <si>
    <t>7-Aug</t>
  </si>
  <si>
    <t>8-Aug</t>
  </si>
  <si>
    <t>9-Aug</t>
  </si>
  <si>
    <t>10-Aug</t>
  </si>
  <si>
    <t>11-Aug</t>
  </si>
  <si>
    <t>Count of Patient Gender</t>
  </si>
  <si>
    <t>12-Aug</t>
  </si>
  <si>
    <t>Female</t>
  </si>
  <si>
    <t>13-Aug</t>
  </si>
  <si>
    <t>Male</t>
  </si>
  <si>
    <t>14-Aug</t>
  </si>
  <si>
    <t>Grand Total</t>
  </si>
  <si>
    <t>15-Aug</t>
  </si>
  <si>
    <t>16-Aug</t>
  </si>
  <si>
    <t>Count of Response</t>
  </si>
  <si>
    <t>17-Aug</t>
  </si>
  <si>
    <t>Delay</t>
  </si>
  <si>
    <t>18-Aug</t>
  </si>
  <si>
    <t>On Time</t>
  </si>
  <si>
    <t>19-Aug</t>
  </si>
  <si>
    <t>20-Aug</t>
  </si>
  <si>
    <t>21-Aug</t>
  </si>
  <si>
    <t>22-Aug</t>
  </si>
  <si>
    <t>Count of Department Referral</t>
  </si>
  <si>
    <t>23-Aug</t>
  </si>
  <si>
    <t>Renal</t>
  </si>
  <si>
    <t>24-Aug</t>
  </si>
  <si>
    <t>Gastroenterology</t>
  </si>
  <si>
    <t>25-Aug</t>
  </si>
  <si>
    <t>Cardiology</t>
  </si>
  <si>
    <t>26-Aug</t>
  </si>
  <si>
    <t>Neurology</t>
  </si>
  <si>
    <t>27-Aug</t>
  </si>
  <si>
    <t>Physiotherapy</t>
  </si>
  <si>
    <t>28-Aug</t>
  </si>
  <si>
    <t>Orthopedics</t>
  </si>
  <si>
    <t>29-Aug</t>
  </si>
  <si>
    <t>General Practice</t>
  </si>
  <si>
    <t>30-Aug</t>
  </si>
  <si>
    <t>None</t>
  </si>
  <si>
    <t>31-Aug</t>
  </si>
  <si>
    <t>Count of Patient Admission Flag</t>
  </si>
  <si>
    <t>Admitted</t>
  </si>
  <si>
    <t>Count of Age Group</t>
  </si>
  <si>
    <t>Not Admitted</t>
  </si>
  <si>
    <t>Adult</t>
  </si>
  <si>
    <t>Child</t>
  </si>
  <si>
    <t>Senior Citizen</t>
  </si>
  <si>
    <t>Teen</t>
  </si>
  <si>
    <t>Young Adult</t>
  </si>
  <si>
    <t>Patient  Admission Status</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</si>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</sst>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font>
      <sz val="11"/>
      <color theme="1"/>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4" tint="0.79998168889431442"/>
        <bgColor theme="4" tint="0.79998168889431442"/>
      </patternFill>
    </fill>
    <fill>
      <patternFill patternType="solid">
        <fgColor rgb="FF00B0F0"/>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21">
    <xf numFmtId="0" fontId="0" fillId="0" borderId="0" xfId="0"/>
    <xf numFmtId="2" fontId="0" fillId="0" borderId="0" xfId="0" applyNumberFormat="1"/>
    <xf numFmtId="0" fontId="0" fillId="3" borderId="0" xfId="0" applyFill="1"/>
    <xf numFmtId="0" fontId="0" fillId="4" borderId="0" xfId="0" applyFill="1"/>
    <xf numFmtId="0" fontId="1" fillId="5"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64" fontId="0" fillId="0" borderId="0" xfId="0" applyNumberFormat="1"/>
    <xf numFmtId="0" fontId="0" fillId="2" borderId="0" xfId="0" applyFill="1" applyAlignment="1">
      <alignment horizontal="left"/>
    </xf>
    <xf numFmtId="1" fontId="0" fillId="2" borderId="0" xfId="0" applyNumberFormat="1" applyFill="1"/>
    <xf numFmtId="10" fontId="0" fillId="0" borderId="0" xfId="0" applyNumberFormat="1"/>
    <xf numFmtId="10" fontId="0" fillId="2" borderId="0" xfId="0" applyNumberFormat="1" applyFill="1"/>
    <xf numFmtId="0" fontId="0" fillId="4" borderId="0" xfId="0" applyFill="1" applyAlignment="1">
      <alignment horizontal="left"/>
    </xf>
    <xf numFmtId="1" fontId="0" fillId="4" borderId="0" xfId="0" applyNumberFormat="1" applyFill="1"/>
    <xf numFmtId="0" fontId="1" fillId="4" borderId="2" xfId="0" applyFont="1" applyFill="1" applyBorder="1" applyAlignment="1">
      <alignment horizontal="left"/>
    </xf>
    <xf numFmtId="1" fontId="1" fillId="4" borderId="2" xfId="0" applyNumberFormat="1" applyFont="1" applyFill="1" applyBorder="1"/>
    <xf numFmtId="0" fontId="0" fillId="6" borderId="0" xfId="0" applyFill="1"/>
    <xf numFmtId="0" fontId="0" fillId="2" borderId="0" xfId="0" applyFill="1" applyAlignment="1">
      <alignment horizontal="center"/>
    </xf>
    <xf numFmtId="0" fontId="0" fillId="0" borderId="0" xfId="0" applyNumberFormat="1"/>
  </cellXfs>
  <cellStyles count="1">
    <cellStyle name="Normal" xfId="0" builtinId="0"/>
  </cellStyles>
  <dxfs count="31">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bgColor theme="0" tint="-0.249977111117893"/>
        </patternFill>
      </fill>
    </dxf>
    <dxf>
      <fill>
        <patternFill>
          <bgColor theme="0" tint="-0.249977111117893"/>
        </patternFill>
      </fill>
    </dxf>
    <dxf>
      <numFmt numFmtId="14"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bgColor theme="0" tint="-0.249977111117893"/>
        </patternFill>
      </fill>
    </dxf>
    <dxf>
      <fill>
        <patternFill>
          <bgColor theme="0" tint="-0.249977111117893"/>
        </patternFill>
      </fill>
    </dxf>
    <dxf>
      <numFmt numFmtId="2" formatCode="0.00"/>
    </dxf>
    <dxf>
      <numFmt numFmtId="2" formatCode="0.00"/>
    </dxf>
    <dxf>
      <numFmt numFmtId="14" formatCode="0.00%"/>
    </dxf>
    <dxf>
      <numFmt numFmtId="164" formatCode="0.0%"/>
    </dxf>
    <dxf>
      <numFmt numFmtId="164" formatCode="0.0%"/>
    </dxf>
    <dxf>
      <numFmt numFmtId="2" formatCode="0.00"/>
    </dxf>
    <dxf>
      <numFmt numFmtId="1" formatCode="0"/>
    </dxf>
    <dxf>
      <numFmt numFmtId="1" formatCode="0"/>
    </dxf>
    <dxf>
      <numFmt numFmtId="1" formatCode="0"/>
    </dxf>
    <dxf>
      <font>
        <b/>
        <color theme="1"/>
      </font>
      <border>
        <bottom style="thin">
          <color theme="8"/>
        </bottom>
        <vertical/>
        <horizontal/>
      </border>
    </dxf>
    <dxf>
      <font>
        <b/>
        <i val="0"/>
        <sz val="18"/>
        <color theme="1"/>
      </font>
      <fill>
        <patternFill>
          <bgColor theme="5" tint="0.39994506668294322"/>
        </patternFill>
      </fill>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SlicerStyleDark5 2" pivot="0" table="0" count="10" xr9:uid="{EA9AF1CA-95C4-4DD7-A1F4-3A6FF59B78BC}">
      <tableStyleElement type="wholeTable" dxfId="30"/>
      <tableStyleElement type="headerRow" dxfId="2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Dashboard 0090.xlsx]Pivot Table!PivotTable5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0064977991325522E-2"/>
          <c:w val="1"/>
          <c:h val="0.92013189081117686"/>
        </c:manualLayout>
      </c:layout>
      <c:areaChart>
        <c:grouping val="standard"/>
        <c:varyColors val="0"/>
        <c:ser>
          <c:idx val="0"/>
          <c:order val="0"/>
          <c:tx>
            <c:strRef>
              <c:f>'Pivot Table'!$E$3</c:f>
              <c:strCache>
                <c:ptCount val="1"/>
                <c:pt idx="0">
                  <c:v>Total</c:v>
                </c:pt>
              </c:strCache>
            </c:strRef>
          </c:tx>
          <c:spPr>
            <a:solidFill>
              <a:schemeClr val="accent1"/>
            </a:solidFill>
            <a:ln w="25400">
              <a:noFill/>
            </a:ln>
            <a:effectLst/>
          </c:spPr>
          <c:cat>
            <c:multiLvlStrRef>
              <c:f>'Pivot Table'!$D$4:$D$36</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Table'!$E$4:$E$36</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0-9AAE-4ED6-A864-18B2FEE65902}"/>
            </c:ext>
          </c:extLst>
        </c:ser>
        <c:dLbls>
          <c:showLegendKey val="0"/>
          <c:showVal val="0"/>
          <c:showCatName val="0"/>
          <c:showSerName val="0"/>
          <c:showPercent val="0"/>
          <c:showBubbleSize val="0"/>
        </c:dLbls>
        <c:axId val="155875264"/>
        <c:axId val="155884384"/>
      </c:areaChart>
      <c:catAx>
        <c:axId val="155875264"/>
        <c:scaling>
          <c:orientation val="minMax"/>
        </c:scaling>
        <c:delete val="1"/>
        <c:axPos val="b"/>
        <c:numFmt formatCode="General" sourceLinked="1"/>
        <c:majorTickMark val="out"/>
        <c:minorTickMark val="none"/>
        <c:tickLblPos val="nextTo"/>
        <c:crossAx val="155884384"/>
        <c:crosses val="autoZero"/>
        <c:auto val="1"/>
        <c:lblAlgn val="ctr"/>
        <c:lblOffset val="100"/>
        <c:noMultiLvlLbl val="0"/>
      </c:catAx>
      <c:valAx>
        <c:axId val="155884384"/>
        <c:scaling>
          <c:orientation val="minMax"/>
        </c:scaling>
        <c:delete val="1"/>
        <c:axPos val="l"/>
        <c:numFmt formatCode="General" sourceLinked="1"/>
        <c:majorTickMark val="none"/>
        <c:minorTickMark val="none"/>
        <c:tickLblPos val="nextTo"/>
        <c:crossAx val="1558752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Dashboard 0090.xlsx]Pivot Table!PivotTable4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147309711284773E-5"/>
          <c:y val="0.24631151198149404"/>
          <c:w val="0.99991295724988982"/>
          <c:h val="0.75071353555322184"/>
        </c:manualLayout>
      </c:layout>
      <c:areaChart>
        <c:grouping val="standard"/>
        <c:varyColors val="0"/>
        <c:ser>
          <c:idx val="0"/>
          <c:order val="0"/>
          <c:tx>
            <c:strRef>
              <c:f>'Pivot Table'!$H$3</c:f>
              <c:strCache>
                <c:ptCount val="1"/>
                <c:pt idx="0">
                  <c:v>Total</c:v>
                </c:pt>
              </c:strCache>
            </c:strRef>
          </c:tx>
          <c:spPr>
            <a:solidFill>
              <a:schemeClr val="accent1"/>
            </a:solidFill>
            <a:ln w="25400">
              <a:noFill/>
            </a:ln>
            <a:effectLst/>
          </c:spPr>
          <c:cat>
            <c:multiLvlStrRef>
              <c:f>'Pivot Table'!$G$4:$G$36</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Table'!$H$4:$H$36</c:f>
              <c:numCache>
                <c:formatCode>0.00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0-65F3-4A55-A9E7-41AC7AB4EEC0}"/>
            </c:ext>
          </c:extLst>
        </c:ser>
        <c:dLbls>
          <c:showLegendKey val="0"/>
          <c:showVal val="0"/>
          <c:showCatName val="0"/>
          <c:showSerName val="0"/>
          <c:showPercent val="0"/>
          <c:showBubbleSize val="0"/>
        </c:dLbls>
        <c:axId val="210433600"/>
        <c:axId val="210443200"/>
      </c:areaChart>
      <c:catAx>
        <c:axId val="210433600"/>
        <c:scaling>
          <c:orientation val="minMax"/>
        </c:scaling>
        <c:delete val="1"/>
        <c:axPos val="b"/>
        <c:numFmt formatCode="General" sourceLinked="1"/>
        <c:majorTickMark val="out"/>
        <c:minorTickMark val="none"/>
        <c:tickLblPos val="nextTo"/>
        <c:crossAx val="210443200"/>
        <c:crosses val="autoZero"/>
        <c:auto val="1"/>
        <c:lblAlgn val="ctr"/>
        <c:lblOffset val="100"/>
        <c:noMultiLvlLbl val="0"/>
      </c:catAx>
      <c:valAx>
        <c:axId val="210443200"/>
        <c:scaling>
          <c:orientation val="minMax"/>
        </c:scaling>
        <c:delete val="1"/>
        <c:axPos val="l"/>
        <c:numFmt formatCode="0.00" sourceLinked="1"/>
        <c:majorTickMark val="none"/>
        <c:minorTickMark val="none"/>
        <c:tickLblPos val="nextTo"/>
        <c:crossAx val="2104336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Dashboard 0090.xlsx]Pivot Table!PivotTable7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02681992337167E-3"/>
          <c:y val="0"/>
          <c:w val="0.99386973180076632"/>
          <c:h val="0.93086931107934345"/>
        </c:manualLayout>
      </c:layout>
      <c:areaChart>
        <c:grouping val="standard"/>
        <c:varyColors val="0"/>
        <c:ser>
          <c:idx val="0"/>
          <c:order val="0"/>
          <c:tx>
            <c:strRef>
              <c:f>'Pivot Table'!$K$3</c:f>
              <c:strCache>
                <c:ptCount val="1"/>
                <c:pt idx="0">
                  <c:v>Total</c:v>
                </c:pt>
              </c:strCache>
            </c:strRef>
          </c:tx>
          <c:spPr>
            <a:solidFill>
              <a:schemeClr val="accent1"/>
            </a:solidFill>
            <a:ln w="25400">
              <a:noFill/>
            </a:ln>
            <a:effectLst/>
          </c:spPr>
          <c:cat>
            <c:multiLvlStrRef>
              <c:f>'Pivot Table'!$J$4:$J$35</c:f>
              <c:multiLvlStrCache>
                <c:ptCount val="30"/>
                <c:lvl>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lvl>
                <c:lvl>
                  <c:pt idx="0">
                    <c:v>Aug</c:v>
                  </c:pt>
                </c:lvl>
              </c:multiLvlStrCache>
            </c:multiLvlStrRef>
          </c:cat>
          <c:val>
            <c:numRef>
              <c:f>'Pivot Table'!$K$4:$K$35</c:f>
              <c:numCache>
                <c:formatCode>0.00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0-3E99-4176-9E38-9C4DF015B3EE}"/>
            </c:ext>
          </c:extLst>
        </c:ser>
        <c:dLbls>
          <c:showLegendKey val="0"/>
          <c:showVal val="0"/>
          <c:showCatName val="0"/>
          <c:showSerName val="0"/>
          <c:showPercent val="0"/>
          <c:showBubbleSize val="0"/>
        </c:dLbls>
        <c:axId val="1983486496"/>
        <c:axId val="1983460096"/>
      </c:areaChart>
      <c:catAx>
        <c:axId val="1983486496"/>
        <c:scaling>
          <c:orientation val="minMax"/>
        </c:scaling>
        <c:delete val="1"/>
        <c:axPos val="b"/>
        <c:numFmt formatCode="General" sourceLinked="1"/>
        <c:majorTickMark val="out"/>
        <c:minorTickMark val="none"/>
        <c:tickLblPos val="nextTo"/>
        <c:crossAx val="1983460096"/>
        <c:crosses val="autoZero"/>
        <c:auto val="1"/>
        <c:lblAlgn val="ctr"/>
        <c:lblOffset val="100"/>
        <c:noMultiLvlLbl val="0"/>
      </c:catAx>
      <c:valAx>
        <c:axId val="1983460096"/>
        <c:scaling>
          <c:orientation val="minMax"/>
        </c:scaling>
        <c:delete val="1"/>
        <c:axPos val="l"/>
        <c:numFmt formatCode="0.00" sourceLinked="1"/>
        <c:majorTickMark val="none"/>
        <c:minorTickMark val="none"/>
        <c:tickLblPos val="nextTo"/>
        <c:crossAx val="198348649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[Emergency   Dashboard 0090.xlsx]Pivot Table!PivotTable10</c:name>
    <c:fmtId val="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ln>
                    <a:noFill/>
                  </a:ln>
                  <a:solidFill>
                    <a:schemeClr val="tx1"/>
                  </a:solidFill>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358746216047698"/>
          <c:y val="0.1586012918597941"/>
          <c:w val="0.58328997810766003"/>
          <c:h val="0.82374602110906348"/>
        </c:manualLayout>
      </c:layout>
      <c:barChart>
        <c:barDir val="bar"/>
        <c:grouping val="clustered"/>
        <c:varyColors val="0"/>
        <c:ser>
          <c:idx val="0"/>
          <c:order val="0"/>
          <c:tx>
            <c:strRef>
              <c:f>'Pivot Table'!$B$26</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ln>
                      <a:noFill/>
                    </a:ln>
                    <a:solidFill>
                      <a:schemeClr val="tx1"/>
                    </a:solidFill>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Table'!$A$27:$A$35</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Table'!$B$27:$B$35</c:f>
              <c:numCache>
                <c:formatCode>0</c:formatCode>
                <c:ptCount val="8"/>
                <c:pt idx="0">
                  <c:v>7</c:v>
                </c:pt>
                <c:pt idx="1">
                  <c:v>10</c:v>
                </c:pt>
                <c:pt idx="2">
                  <c:v>12</c:v>
                </c:pt>
                <c:pt idx="3">
                  <c:v>14</c:v>
                </c:pt>
                <c:pt idx="4">
                  <c:v>18</c:v>
                </c:pt>
                <c:pt idx="5">
                  <c:v>53</c:v>
                </c:pt>
                <c:pt idx="6">
                  <c:v>109</c:v>
                </c:pt>
                <c:pt idx="7">
                  <c:v>307</c:v>
                </c:pt>
              </c:numCache>
            </c:numRef>
          </c:val>
          <c:extLst>
            <c:ext xmlns:c16="http://schemas.microsoft.com/office/drawing/2014/chart" uri="{C3380CC4-5D6E-409C-BE32-E72D297353CC}">
              <c16:uniqueId val="{00000000-2855-40CF-BEA2-D908ACB133AE}"/>
            </c:ext>
          </c:extLst>
        </c:ser>
        <c:dLbls>
          <c:showLegendKey val="0"/>
          <c:showVal val="0"/>
          <c:showCatName val="0"/>
          <c:showSerName val="0"/>
          <c:showPercent val="0"/>
          <c:showBubbleSize val="0"/>
        </c:dLbls>
        <c:gapWidth val="182"/>
        <c:axId val="883702096"/>
        <c:axId val="883700656"/>
      </c:barChart>
      <c:catAx>
        <c:axId val="88370209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ln>
                  <a:noFill/>
                </a:ln>
                <a:solidFill>
                  <a:schemeClr val="tx1"/>
                </a:solidFill>
                <a:effectLst/>
                <a:latin typeface="Aptos" panose="020B0004020202020204" pitchFamily="34" charset="0"/>
                <a:ea typeface="+mn-ea"/>
                <a:cs typeface="+mn-cs"/>
              </a:defRPr>
            </a:pPr>
            <a:endParaRPr lang="en-US"/>
          </a:p>
        </c:txPr>
        <c:crossAx val="883700656"/>
        <c:crosses val="autoZero"/>
        <c:auto val="0"/>
        <c:lblAlgn val="l"/>
        <c:lblOffset val="100"/>
        <c:noMultiLvlLbl val="0"/>
      </c:catAx>
      <c:valAx>
        <c:axId val="883700656"/>
        <c:scaling>
          <c:orientation val="minMax"/>
        </c:scaling>
        <c:delete val="1"/>
        <c:axPos val="b"/>
        <c:numFmt formatCode="0" sourceLinked="1"/>
        <c:majorTickMark val="none"/>
        <c:minorTickMark val="none"/>
        <c:tickLblPos val="nextTo"/>
        <c:crossAx val="8837020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sx="1000" sy="1000" algn="ctr" rotWithShape="0">
        <a:srgbClr val="000000"/>
      </a:outerShdw>
    </a:effectLst>
  </c:spPr>
  <c:txPr>
    <a:bodyPr/>
    <a:lstStyle/>
    <a:p>
      <a:pPr>
        <a:defRPr sz="1110" baseline="0">
          <a:ln>
            <a:noFill/>
          </a:ln>
          <a:solidFill>
            <a:schemeClr val="tx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Dashboard 0090.xlsx]Pivot Table!PivotTable6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80033903650785E-4"/>
          <c:y val="8.2935375011055676E-2"/>
          <c:w val="0.99622540903502965"/>
          <c:h val="0.70848136027858644"/>
        </c:manualLayout>
      </c:layout>
      <c:barChart>
        <c:barDir val="col"/>
        <c:grouping val="clustered"/>
        <c:varyColors val="0"/>
        <c:ser>
          <c:idx val="0"/>
          <c:order val="0"/>
          <c:tx>
            <c:strRef>
              <c:f>'Pivot Table'!$B$40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Table'!$A$41:$A$46</c:f>
              <c:strCache>
                <c:ptCount val="5"/>
                <c:pt idx="0">
                  <c:v>Adult</c:v>
                </c:pt>
                <c:pt idx="1">
                  <c:v>Child</c:v>
                </c:pt>
                <c:pt idx="2">
                  <c:v>Senior Citizen</c:v>
                </c:pt>
                <c:pt idx="3">
                  <c:v>Teen</c:v>
                </c:pt>
                <c:pt idx="4">
                  <c:v>Young Adult</c:v>
                </c:pt>
              </c:strCache>
            </c:strRef>
          </c:cat>
          <c:val>
            <c:numRef>
              <c:f>'Pivot Table'!$B$41:$B$46</c:f>
              <c:numCache>
                <c:formatCode>0</c:formatCode>
                <c:ptCount val="5"/>
                <c:pt idx="0">
                  <c:v>199</c:v>
                </c:pt>
                <c:pt idx="1">
                  <c:v>76</c:v>
                </c:pt>
                <c:pt idx="2">
                  <c:v>108</c:v>
                </c:pt>
                <c:pt idx="3">
                  <c:v>45</c:v>
                </c:pt>
                <c:pt idx="4">
                  <c:v>102</c:v>
                </c:pt>
              </c:numCache>
            </c:numRef>
          </c:val>
          <c:extLst>
            <c:ext xmlns:c16="http://schemas.microsoft.com/office/drawing/2014/chart" uri="{C3380CC4-5D6E-409C-BE32-E72D297353CC}">
              <c16:uniqueId val="{00000000-C578-4715-B5D4-C8E23F412CAD}"/>
            </c:ext>
          </c:extLst>
        </c:ser>
        <c:dLbls>
          <c:showLegendKey val="0"/>
          <c:showVal val="0"/>
          <c:showCatName val="0"/>
          <c:showSerName val="0"/>
          <c:showPercent val="0"/>
          <c:showBubbleSize val="0"/>
        </c:dLbls>
        <c:gapWidth val="219"/>
        <c:overlap val="-27"/>
        <c:axId val="515594655"/>
        <c:axId val="515592735"/>
      </c:barChart>
      <c:catAx>
        <c:axId val="51559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2">
                    <a:lumMod val="10000"/>
                  </a:schemeClr>
                </a:solidFill>
                <a:latin typeface="+mn-lt"/>
                <a:ea typeface="+mn-ea"/>
                <a:cs typeface="+mn-cs"/>
              </a:defRPr>
            </a:pPr>
            <a:endParaRPr lang="en-US"/>
          </a:p>
        </c:txPr>
        <c:crossAx val="515592735"/>
        <c:crosses val="autoZero"/>
        <c:auto val="1"/>
        <c:lblAlgn val="ctr"/>
        <c:lblOffset val="100"/>
        <c:noMultiLvlLbl val="0"/>
      </c:catAx>
      <c:valAx>
        <c:axId val="515592735"/>
        <c:scaling>
          <c:orientation val="minMax"/>
        </c:scaling>
        <c:delete val="1"/>
        <c:axPos val="l"/>
        <c:numFmt formatCode="0" sourceLinked="1"/>
        <c:majorTickMark val="none"/>
        <c:minorTickMark val="none"/>
        <c:tickLblPos val="nextTo"/>
        <c:crossAx val="51559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Dashboard 0090.xlsx]Pivot Table!PivotTable8</c:name>
    <c:fmtId val="22"/>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glow>
              <a:schemeClr val="accent1">
                <a:alpha val="40000"/>
              </a:schemeClr>
            </a:glow>
          </a:effectLst>
        </c:spPr>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a:glow>
              <a:schemeClr val="accent1">
                <a:alpha val="40000"/>
              </a:schemeClr>
            </a:glow>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26414525219231316"/>
              <c:y val="8.862392314686875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a:glow>
              <a:schemeClr val="accent1">
                <a:alpha val="40000"/>
              </a:schemeClr>
            </a:glow>
          </a:effectLst>
        </c:spPr>
        <c:dLbl>
          <c:idx val="0"/>
          <c:layout>
            <c:manualLayout>
              <c:x val="0.26157958452867808"/>
              <c:y val="3.40729921134353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85362876152108"/>
          <c:y val="0.22446820746343094"/>
          <c:w val="0.62821980101324548"/>
          <c:h val="0.63699830880612229"/>
        </c:manualLayout>
      </c:layout>
      <c:pieChart>
        <c:varyColors val="1"/>
        <c:ser>
          <c:idx val="0"/>
          <c:order val="0"/>
          <c:tx>
            <c:strRef>
              <c:f>'Pivot Table'!$B$15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3B3-4A29-9EAD-160AE1A40C99}"/>
              </c:ext>
            </c:extLst>
          </c:dPt>
          <c:dPt>
            <c:idx val="1"/>
            <c:bubble3D val="0"/>
            <c:spPr>
              <a:solidFill>
                <a:schemeClr val="accent5"/>
              </a:solidFill>
              <a:ln w="19050">
                <a:solidFill>
                  <a:schemeClr val="lt1"/>
                </a:solidFill>
              </a:ln>
              <a:effectLst>
                <a:glow>
                  <a:schemeClr val="accent1">
                    <a:alpha val="40000"/>
                  </a:schemeClr>
                </a:glow>
              </a:effectLst>
            </c:spPr>
            <c:extLst>
              <c:ext xmlns:c16="http://schemas.microsoft.com/office/drawing/2014/chart" uri="{C3380CC4-5D6E-409C-BE32-E72D297353CC}">
                <c16:uniqueId val="{00000003-E3B3-4A29-9EAD-160AE1A40C99}"/>
              </c:ext>
            </c:extLst>
          </c:dPt>
          <c:dLbls>
            <c:dLbl>
              <c:idx val="0"/>
              <c:layout>
                <c:manualLayout>
                  <c:x val="-0.26414525219231316"/>
                  <c:y val="8.86239231468687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B3-4A29-9EAD-160AE1A40C99}"/>
                </c:ext>
              </c:extLst>
            </c:dLbl>
            <c:dLbl>
              <c:idx val="1"/>
              <c:layout>
                <c:manualLayout>
                  <c:x val="0.26157958452867808"/>
                  <c:y val="3.407299211343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B3-4A29-9EAD-160AE1A40C99}"/>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Table'!$A$16:$A$18</c:f>
              <c:strCache>
                <c:ptCount val="2"/>
                <c:pt idx="0">
                  <c:v>Female</c:v>
                </c:pt>
                <c:pt idx="1">
                  <c:v>Male</c:v>
                </c:pt>
              </c:strCache>
            </c:strRef>
          </c:cat>
          <c:val>
            <c:numRef>
              <c:f>'Pivot Table'!$B$16:$B$18</c:f>
              <c:numCache>
                <c:formatCode>0.0%</c:formatCode>
                <c:ptCount val="2"/>
                <c:pt idx="0">
                  <c:v>0.48867924528301887</c:v>
                </c:pt>
                <c:pt idx="1">
                  <c:v>0.51132075471698113</c:v>
                </c:pt>
              </c:numCache>
            </c:numRef>
          </c:val>
          <c:extLst>
            <c:ext xmlns:c16="http://schemas.microsoft.com/office/drawing/2014/chart" uri="{C3380CC4-5D6E-409C-BE32-E72D297353CC}">
              <c16:uniqueId val="{00000004-EFEF-422C-8CF9-EC2EA8C8D7B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2757075423711567"/>
          <c:y val="1.0883675878747744E-2"/>
          <c:w val="0.82985208244318298"/>
          <c:h val="0.1746127237178522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Dashboard 0090.xlsx]Pivot Table!PivotTable9</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w="19050">
            <a:solidFill>
              <a:schemeClr val="lt1"/>
            </a:solidFill>
          </a:ln>
          <a:effectLst/>
        </c:spPr>
      </c:pivotFmt>
      <c:pivotFmt>
        <c:idx val="4"/>
        <c:spPr>
          <a:solidFill>
            <a:schemeClr val="accent4">
              <a:lumMod val="60000"/>
              <a:lumOff val="40000"/>
            </a:schemeClr>
          </a:solidFill>
          <a:ln w="19050">
            <a:solidFill>
              <a:schemeClr val="lt1"/>
            </a:solidFill>
          </a:ln>
          <a:effectLst/>
        </c:spPr>
      </c:pivotFmt>
      <c:pivotFmt>
        <c:idx val="5"/>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pivotFmt>
      <c:pivotFmt>
        <c:idx val="7"/>
        <c:spPr>
          <a:solidFill>
            <a:srgbClr val="FF0000"/>
          </a:solidFill>
          <a:ln w="19050">
            <a:solidFill>
              <a:schemeClr val="lt1"/>
            </a:solidFill>
          </a:ln>
          <a:effectLst/>
        </c:spPr>
      </c:pivotFmt>
    </c:pivotFmts>
    <c:plotArea>
      <c:layout>
        <c:manualLayout>
          <c:layoutTarget val="inner"/>
          <c:xMode val="edge"/>
          <c:yMode val="edge"/>
          <c:x val="0.16431866198171152"/>
          <c:y val="0.23094044193394819"/>
          <c:w val="0.63598316967112289"/>
          <c:h val="0.64433305955186337"/>
        </c:manualLayout>
      </c:layout>
      <c:doughnutChart>
        <c:varyColors val="1"/>
        <c:ser>
          <c:idx val="0"/>
          <c:order val="0"/>
          <c:tx>
            <c:strRef>
              <c:f>'Pivot Table'!$B$20</c:f>
              <c:strCache>
                <c:ptCount val="1"/>
                <c:pt idx="0">
                  <c:v>Total</c:v>
                </c:pt>
              </c:strCache>
            </c:strRef>
          </c:tx>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4376-42DD-AE2B-51B26710628A}"/>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4376-42DD-AE2B-51B26710628A}"/>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Table'!$A$21:$A$23</c:f>
              <c:strCache>
                <c:ptCount val="2"/>
                <c:pt idx="0">
                  <c:v>Delay</c:v>
                </c:pt>
                <c:pt idx="1">
                  <c:v>On Time</c:v>
                </c:pt>
              </c:strCache>
            </c:strRef>
          </c:cat>
          <c:val>
            <c:numRef>
              <c:f>'Pivot Table'!$B$21:$B$23</c:f>
              <c:numCache>
                <c:formatCode>0</c:formatCode>
                <c:ptCount val="2"/>
                <c:pt idx="0">
                  <c:v>323</c:v>
                </c:pt>
                <c:pt idx="1">
                  <c:v>207</c:v>
                </c:pt>
              </c:numCache>
            </c:numRef>
          </c:val>
          <c:extLst>
            <c:ext xmlns:c16="http://schemas.microsoft.com/office/drawing/2014/chart" uri="{C3380CC4-5D6E-409C-BE32-E72D297353CC}">
              <c16:uniqueId val="{00000004-2CBC-4BB7-A980-D0D613A05644}"/>
            </c:ext>
          </c:extLst>
        </c:ser>
        <c:dLbls>
          <c:showLegendKey val="0"/>
          <c:showVal val="0"/>
          <c:showCatName val="0"/>
          <c:showSerName val="0"/>
          <c:showPercent val="0"/>
          <c:showBubbleSize val="0"/>
          <c:showLeaderLines val="1"/>
        </c:dLbls>
        <c:firstSliceAng val="0"/>
        <c:holeSize val="35"/>
      </c:doughnutChart>
      <c:spPr>
        <a:noFill/>
        <a:ln>
          <a:noFill/>
        </a:ln>
        <a:effectLst/>
      </c:spPr>
    </c:plotArea>
    <c:legend>
      <c:legendPos val="r"/>
      <c:layout>
        <c:manualLayout>
          <c:xMode val="edge"/>
          <c:yMode val="edge"/>
          <c:x val="6.7167236469998212E-2"/>
          <c:y val="5.9659377256564942E-2"/>
          <c:w val="0.89637878545922434"/>
          <c:h val="0.16891821507750029"/>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Dashboard 0090.xlsx]Pivot Table!PivotTable13</c:name>
    <c:fmtId val="2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solidFill>
                  <a:schemeClr val="bg2">
                    <a:lumMod val="10000"/>
                  </a:schemeClr>
                </a:solidFill>
              </a:rPr>
              <a:t>Admit</a:t>
            </a:r>
            <a:r>
              <a:rPr lang="en-US" sz="2000" b="1" baseline="0">
                <a:solidFill>
                  <a:schemeClr val="bg2">
                    <a:lumMod val="10000"/>
                  </a:schemeClr>
                </a:solidFill>
              </a:rPr>
              <a:t> Status In %</a:t>
            </a:r>
          </a:p>
        </c:rich>
      </c:tx>
      <c:layout>
        <c:manualLayout>
          <c:xMode val="edge"/>
          <c:yMode val="edge"/>
          <c:x val="0.16756239998496777"/>
          <c:y val="0"/>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w="9525">
              <a:noFill/>
            </a:ln>
            <a:effectLst/>
          </c:spPr>
          <c:txPr>
            <a:bodyPr rot="0" spcFirstLastPara="1" vertOverflow="clip" horzOverflow="clip" vert="horz" wrap="square" lIns="36576" tIns="18288" rIns="36576" bIns="18288" anchor="b"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dLbl>
          <c:idx val="0"/>
          <c:spPr>
            <a:noFill/>
            <a:ln w="9525">
              <a:noFill/>
            </a:ln>
            <a:effectLst/>
          </c:spPr>
          <c:txPr>
            <a:bodyPr rot="0" spcFirstLastPara="1" vertOverflow="clip" horzOverflow="clip" vert="horz" wrap="square" lIns="36576" tIns="18288" rIns="36576" bIns="18288" anchor="b"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c:spPr>
        <c:dLbl>
          <c:idx val="0"/>
          <c:spPr>
            <a:noFill/>
            <a:ln w="9525">
              <a:noFill/>
            </a:ln>
            <a:effectLst/>
          </c:spPr>
          <c:txPr>
            <a:bodyPr rot="0" spcFirstLastPara="1" vertOverflow="clip" horzOverflow="clip" vert="horz" wrap="square" lIns="36576" tIns="18288" rIns="36576" bIns="18288" anchor="b"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c:spPr>
        <c:marker>
          <c:symbol val="none"/>
        </c:marker>
        <c:dLbl>
          <c:idx val="0"/>
          <c:spPr>
            <a:noFill/>
            <a:ln w="9525">
              <a:noFill/>
            </a:ln>
            <a:effectLst/>
          </c:spPr>
          <c:txPr>
            <a:bodyPr rot="0" spcFirstLastPara="1" vertOverflow="clip" horzOverflow="clip" vert="horz" wrap="square" lIns="36576" tIns="18288" rIns="36576" bIns="18288" anchor="b"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c:spPr>
        <c:marker>
          <c:symbol val="none"/>
        </c:marker>
        <c:dLbl>
          <c:idx val="0"/>
          <c:spPr>
            <a:noFill/>
            <a:ln w="9525">
              <a:noFill/>
            </a:ln>
            <a:effectLst/>
          </c:spPr>
          <c:txPr>
            <a:bodyPr rot="0" spcFirstLastPara="1" vertOverflow="clip" horzOverflow="clip" vert="horz" wrap="square" lIns="36576" tIns="18288" rIns="36576" bIns="18288" anchor="b" anchorCtr="0">
              <a:spAutoFit/>
            </a:bodyPr>
            <a:lstStyle/>
            <a:p>
              <a:pPr>
                <a:defRPr sz="11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6.41025641025641E-3"/>
          <c:y val="0.21025352054603896"/>
          <c:w val="0.99358974358974361"/>
          <c:h val="0.60544458436339832"/>
        </c:manualLayout>
      </c:layout>
      <c:barChart>
        <c:barDir val="col"/>
        <c:grouping val="clustered"/>
        <c:varyColors val="0"/>
        <c:ser>
          <c:idx val="0"/>
          <c:order val="0"/>
          <c:tx>
            <c:strRef>
              <c:f>'Pivot Table'!$J$38</c:f>
              <c:strCache>
                <c:ptCount val="1"/>
                <c:pt idx="0">
                  <c:v>Total</c:v>
                </c:pt>
              </c:strCache>
            </c:strRef>
          </c:tx>
          <c:spPr>
            <a:solidFill>
              <a:schemeClr val="accent1"/>
            </a:solidFill>
            <a:ln>
              <a:noFill/>
            </a:ln>
            <a:effectLst/>
          </c:spPr>
          <c:invertIfNegative val="0"/>
          <c:dLbls>
            <c:spPr>
              <a:noFill/>
              <a:ln w="9525">
                <a:noFill/>
              </a:ln>
              <a:effectLst/>
            </c:spPr>
            <c:txPr>
              <a:bodyPr rot="0" spcFirstLastPara="1" vertOverflow="clip" horzOverflow="clip" vert="horz" wrap="square" lIns="36576" tIns="18288" rIns="36576" bIns="18288" anchor="b" anchorCtr="0">
                <a:spAutoFit/>
              </a:bodyPr>
              <a:lstStyle/>
              <a:p>
                <a:pPr>
                  <a:defRPr sz="11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Table'!$I$39:$I$41</c:f>
              <c:strCache>
                <c:ptCount val="2"/>
                <c:pt idx="0">
                  <c:v>Admitted</c:v>
                </c:pt>
                <c:pt idx="1">
                  <c:v>Not Admitted</c:v>
                </c:pt>
              </c:strCache>
            </c:strRef>
          </c:cat>
          <c:val>
            <c:numRef>
              <c:f>'Pivot Table'!$J$39:$J$41</c:f>
              <c:numCache>
                <c:formatCode>0.00%</c:formatCode>
                <c:ptCount val="2"/>
                <c:pt idx="0">
                  <c:v>0.45660377358490567</c:v>
                </c:pt>
                <c:pt idx="1">
                  <c:v>0.54339622641509433</c:v>
                </c:pt>
              </c:numCache>
            </c:numRef>
          </c:val>
          <c:extLst>
            <c:ext xmlns:c16="http://schemas.microsoft.com/office/drawing/2014/chart" uri="{C3380CC4-5D6E-409C-BE32-E72D297353CC}">
              <c16:uniqueId val="{00000001-7353-4F33-B6D9-1A54209651D7}"/>
            </c:ext>
          </c:extLst>
        </c:ser>
        <c:dLbls>
          <c:showLegendKey val="0"/>
          <c:showVal val="0"/>
          <c:showCatName val="0"/>
          <c:showSerName val="0"/>
          <c:showPercent val="0"/>
          <c:showBubbleSize val="0"/>
        </c:dLbls>
        <c:gapWidth val="219"/>
        <c:overlap val="-27"/>
        <c:axId val="533589856"/>
        <c:axId val="533573536"/>
      </c:barChart>
      <c:catAx>
        <c:axId val="53358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2">
                    <a:lumMod val="25000"/>
                  </a:schemeClr>
                </a:solidFill>
                <a:latin typeface="Abadi" panose="020B0604020104020204" pitchFamily="34" charset="0"/>
                <a:ea typeface="+mn-ea"/>
                <a:cs typeface="+mn-cs"/>
              </a:defRPr>
            </a:pPr>
            <a:endParaRPr lang="en-US"/>
          </a:p>
        </c:txPr>
        <c:crossAx val="533573536"/>
        <c:crosses val="autoZero"/>
        <c:auto val="1"/>
        <c:lblAlgn val="ctr"/>
        <c:lblOffset val="100"/>
        <c:noMultiLvlLbl val="0"/>
      </c:catAx>
      <c:valAx>
        <c:axId val="533573536"/>
        <c:scaling>
          <c:orientation val="minMax"/>
        </c:scaling>
        <c:delete val="1"/>
        <c:axPos val="l"/>
        <c:numFmt formatCode="0.00%" sourceLinked="1"/>
        <c:majorTickMark val="none"/>
        <c:minorTickMark val="none"/>
        <c:tickLblPos val="nextTo"/>
        <c:crossAx val="53358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Dashboard 0090.xlsx]Pivot Table!PivotTable5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406645192078262E-2"/>
          <c:y val="4.6296068460192477E-2"/>
          <c:w val="0.95865396086852783"/>
          <c:h val="0.791744814450277"/>
        </c:manualLayout>
      </c:layout>
      <c:areaChart>
        <c:grouping val="standard"/>
        <c:varyColors val="0"/>
        <c:ser>
          <c:idx val="0"/>
          <c:order val="0"/>
          <c:tx>
            <c:strRef>
              <c:f>'Pivot Table'!$E$3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 Table'!$D$4:$D$36</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Table'!$E$4:$E$36</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0-65C4-4EBB-BA79-B6093EC4459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55875264"/>
        <c:axId val="155884384"/>
      </c:areaChart>
      <c:catAx>
        <c:axId val="1558752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2700000" spcFirstLastPara="1" vertOverflow="ellipsis"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crossAx val="155884384"/>
        <c:crosses val="autoZero"/>
        <c:auto val="1"/>
        <c:lblAlgn val="ctr"/>
        <c:lblOffset val="100"/>
        <c:noMultiLvlLbl val="0"/>
      </c:catAx>
      <c:valAx>
        <c:axId val="1558843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8752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Dashboard 0090.xlsx]Pivot Table!PivotTable4</c:name>
    <c:fmtId val="3"/>
  </c:pivotSource>
  <c:chart>
    <c:autoTitleDeleted val="1"/>
    <c:pivotFmts>
      <c:pivotFmt>
        <c:idx val="0"/>
      </c:pivotFmt>
      <c:pivotFmt>
        <c:idx val="1"/>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 Table'!$G$4:$G$36</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Table'!$H$4:$H$36</c:f>
              <c:numCache>
                <c:formatCode>0.00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0-3342-4F32-8C17-A0BF0282298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10433600"/>
        <c:axId val="210443200"/>
      </c:areaChart>
      <c:catAx>
        <c:axId val="21043360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2700000" spcFirstLastPara="1" vertOverflow="ellipsis"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crossAx val="210443200"/>
        <c:crosses val="autoZero"/>
        <c:auto val="1"/>
        <c:lblAlgn val="ctr"/>
        <c:lblOffset val="100"/>
        <c:noMultiLvlLbl val="0"/>
      </c:catAx>
      <c:valAx>
        <c:axId val="21044320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75000"/>
                  </a:schemeClr>
                </a:solidFill>
                <a:latin typeface="+mn-lt"/>
                <a:ea typeface="+mn-ea"/>
                <a:cs typeface="+mn-cs"/>
              </a:defRPr>
            </a:pPr>
            <a:endParaRPr lang="en-US"/>
          </a:p>
        </c:txPr>
        <c:crossAx val="2104336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Dashboard 0090.xlsx]Pivot Table!PivotTable7</c:name>
    <c:fmtId val="4"/>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2400"/>
              <a:t>Daily</a:t>
            </a:r>
            <a:r>
              <a:rPr lang="en-US" sz="2400" baseline="0"/>
              <a:t> Rating Trend</a:t>
            </a:r>
            <a:endParaRPr lang="en-US" sz="2400"/>
          </a:p>
        </c:rich>
      </c:tx>
      <c:layout>
        <c:manualLayout>
          <c:xMode val="edge"/>
          <c:yMode val="edge"/>
          <c:x val="0.38558335984517089"/>
          <c:y val="5.439922336206397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114274177266305E-2"/>
          <c:y val="0.1513289478055749"/>
          <c:w val="0.94637290530991314"/>
          <c:h val="0.68860261138243783"/>
        </c:manualLayout>
      </c:layout>
      <c:areaChart>
        <c:grouping val="standard"/>
        <c:varyColors val="0"/>
        <c:ser>
          <c:idx val="0"/>
          <c:order val="0"/>
          <c:tx>
            <c:strRef>
              <c:f>'Pivot Table'!$K$3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 Table'!$J$4:$J$35</c:f>
              <c:multiLvlStrCache>
                <c:ptCount val="30"/>
                <c:lvl>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lvl>
                <c:lvl>
                  <c:pt idx="0">
                    <c:v>Aug</c:v>
                  </c:pt>
                </c:lvl>
              </c:multiLvlStrCache>
            </c:multiLvlStrRef>
          </c:cat>
          <c:val>
            <c:numRef>
              <c:f>'Pivot Table'!$K$4:$K$35</c:f>
              <c:numCache>
                <c:formatCode>0.00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0-22BF-40FD-A082-E05855229B7E}"/>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983486496"/>
        <c:axId val="1983460096"/>
      </c:areaChart>
      <c:catAx>
        <c:axId val="19834864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2700000" spcFirstLastPara="1" vertOverflow="ellipsis" wrap="square" anchor="ctr" anchorCtr="1"/>
          <a:lstStyle/>
          <a:p>
            <a:pPr>
              <a:defRPr sz="1050" b="1" i="0" u="none" strike="noStrike" kern="1200" cap="all" baseline="0">
                <a:solidFill>
                  <a:schemeClr val="lt1">
                    <a:lumMod val="85000"/>
                  </a:schemeClr>
                </a:solidFill>
                <a:latin typeface="+mn-lt"/>
                <a:ea typeface="+mn-ea"/>
                <a:cs typeface="+mn-cs"/>
              </a:defRPr>
            </a:pPr>
            <a:endParaRPr lang="en-US"/>
          </a:p>
        </c:txPr>
        <c:crossAx val="1983460096"/>
        <c:crosses val="autoZero"/>
        <c:auto val="1"/>
        <c:lblAlgn val="ctr"/>
        <c:lblOffset val="100"/>
        <c:noMultiLvlLbl val="0"/>
      </c:catAx>
      <c:valAx>
        <c:axId val="198346009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75000"/>
                  </a:schemeClr>
                </a:solidFill>
                <a:latin typeface="+mn-lt"/>
                <a:ea typeface="+mn-ea"/>
                <a:cs typeface="+mn-cs"/>
              </a:defRPr>
            </a:pPr>
            <a:endParaRPr lang="en-US"/>
          </a:p>
        </c:txPr>
        <c:crossAx val="19834864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Daily  Rating Trend'!A1"/><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Daily Wait-Time Trend'!A1"/><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chart" Target="../charts/chart1.xml"/><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hyperlink" Target="#'Daily ER Patient No.'!A1"/><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0</xdr:row>
      <xdr:rowOff>83820</xdr:rowOff>
    </xdr:from>
    <xdr:to>
      <xdr:col>7</xdr:col>
      <xdr:colOff>30480</xdr:colOff>
      <xdr:row>5</xdr:row>
      <xdr:rowOff>45720</xdr:rowOff>
    </xdr:to>
    <xdr:sp macro="" textlink="">
      <xdr:nvSpPr>
        <xdr:cNvPr id="2" name="Rectangle: Rounded Corners 1">
          <a:extLst>
            <a:ext uri="{FF2B5EF4-FFF2-40B4-BE49-F238E27FC236}">
              <a16:creationId xmlns:a16="http://schemas.microsoft.com/office/drawing/2014/main" id="{61744BE7-0B94-AD83-3315-4AEC51176BCD}"/>
            </a:ext>
          </a:extLst>
        </xdr:cNvPr>
        <xdr:cNvSpPr/>
      </xdr:nvSpPr>
      <xdr:spPr>
        <a:xfrm>
          <a:off x="99060" y="83820"/>
          <a:ext cx="4198620" cy="87630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137160</xdr:colOff>
      <xdr:row>0</xdr:row>
      <xdr:rowOff>106680</xdr:rowOff>
    </xdr:from>
    <xdr:to>
      <xdr:col>11</xdr:col>
      <xdr:colOff>358140</xdr:colOff>
      <xdr:row>5</xdr:row>
      <xdr:rowOff>53340</xdr:rowOff>
    </xdr:to>
    <xdr:sp macro="" textlink="">
      <xdr:nvSpPr>
        <xdr:cNvPr id="3" name="Rectangle: Rounded Corners 2">
          <a:extLst>
            <a:ext uri="{FF2B5EF4-FFF2-40B4-BE49-F238E27FC236}">
              <a16:creationId xmlns:a16="http://schemas.microsoft.com/office/drawing/2014/main" id="{6AE9A62F-23ED-F76A-2A83-834402C2D511}"/>
            </a:ext>
          </a:extLst>
        </xdr:cNvPr>
        <xdr:cNvSpPr/>
      </xdr:nvSpPr>
      <xdr:spPr>
        <a:xfrm>
          <a:off x="4404360" y="106680"/>
          <a:ext cx="2659380" cy="86106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2">
                  <a:lumMod val="10000"/>
                </a:schemeClr>
              </a:solidFill>
            </a:rPr>
            <a:t>Select Year</a:t>
          </a:r>
        </a:p>
      </xdr:txBody>
    </xdr:sp>
    <xdr:clientData/>
  </xdr:twoCellAnchor>
  <xdr:twoCellAnchor editAs="oneCell">
    <xdr:from>
      <xdr:col>0</xdr:col>
      <xdr:colOff>106680</xdr:colOff>
      <xdr:row>5</xdr:row>
      <xdr:rowOff>152400</xdr:rowOff>
    </xdr:from>
    <xdr:to>
      <xdr:col>2</xdr:col>
      <xdr:colOff>144780</xdr:colOff>
      <xdr:row>27</xdr:row>
      <xdr:rowOff>106680</xdr:rowOff>
    </xdr:to>
    <xdr:sp macro="" textlink="">
      <xdr:nvSpPr>
        <xdr:cNvPr id="4" name="Rectangle: Rounded Corners 3">
          <a:extLst>
            <a:ext uri="{FF2B5EF4-FFF2-40B4-BE49-F238E27FC236}">
              <a16:creationId xmlns:a16="http://schemas.microsoft.com/office/drawing/2014/main" id="{8333926D-2DBA-1A0A-D9F2-C2B11B0C0971}"/>
            </a:ext>
          </a:extLst>
        </xdr:cNvPr>
        <xdr:cNvSpPr/>
      </xdr:nvSpPr>
      <xdr:spPr>
        <a:xfrm>
          <a:off x="106680" y="1083733"/>
          <a:ext cx="1257300" cy="4052147"/>
        </a:xfrm>
        <a:prstGeom prst="roundRect">
          <a:avLst>
            <a:gd name="adj" fmla="val 6566"/>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259080</xdr:colOff>
      <xdr:row>16</xdr:row>
      <xdr:rowOff>8466</xdr:rowOff>
    </xdr:from>
    <xdr:to>
      <xdr:col>11</xdr:col>
      <xdr:colOff>358140</xdr:colOff>
      <xdr:row>27</xdr:row>
      <xdr:rowOff>99060</xdr:rowOff>
    </xdr:to>
    <xdr:sp macro="" textlink="">
      <xdr:nvSpPr>
        <xdr:cNvPr id="8" name="Rectangle: Rounded Corners 7">
          <a:extLst>
            <a:ext uri="{FF2B5EF4-FFF2-40B4-BE49-F238E27FC236}">
              <a16:creationId xmlns:a16="http://schemas.microsoft.com/office/drawing/2014/main" id="{E88BE3A6-1B92-3A75-8833-F9D0A70A8060}"/>
            </a:ext>
          </a:extLst>
        </xdr:cNvPr>
        <xdr:cNvSpPr/>
      </xdr:nvSpPr>
      <xdr:spPr>
        <a:xfrm>
          <a:off x="1478280" y="2988733"/>
          <a:ext cx="5585460" cy="2139527"/>
        </a:xfrm>
        <a:prstGeom prst="roundRect">
          <a:avLst>
            <a:gd name="adj" fmla="val 6781"/>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259080</xdr:colOff>
      <xdr:row>5</xdr:row>
      <xdr:rowOff>152401</xdr:rowOff>
    </xdr:from>
    <xdr:to>
      <xdr:col>5</xdr:col>
      <xdr:colOff>220980</xdr:colOff>
      <xdr:row>15</xdr:row>
      <xdr:rowOff>93133</xdr:rowOff>
    </xdr:to>
    <xdr:sp macro="" textlink="">
      <xdr:nvSpPr>
        <xdr:cNvPr id="10" name="Rectangle: Rounded Corners 9">
          <a:extLst>
            <a:ext uri="{FF2B5EF4-FFF2-40B4-BE49-F238E27FC236}">
              <a16:creationId xmlns:a16="http://schemas.microsoft.com/office/drawing/2014/main" id="{050FEF34-B4EB-40EC-86E1-35017CF78ABC}"/>
            </a:ext>
          </a:extLst>
        </xdr:cNvPr>
        <xdr:cNvSpPr/>
      </xdr:nvSpPr>
      <xdr:spPr>
        <a:xfrm>
          <a:off x="1478280" y="1083734"/>
          <a:ext cx="1790700" cy="1803399"/>
        </a:xfrm>
        <a:prstGeom prst="roundRect">
          <a:avLst>
            <a:gd name="adj" fmla="val 9382"/>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472440</xdr:colOff>
      <xdr:row>0</xdr:row>
      <xdr:rowOff>114300</xdr:rowOff>
    </xdr:from>
    <xdr:to>
      <xdr:col>15</xdr:col>
      <xdr:colOff>7620</xdr:colOff>
      <xdr:row>11</xdr:row>
      <xdr:rowOff>152400</xdr:rowOff>
    </xdr:to>
    <xdr:sp macro="" textlink="">
      <xdr:nvSpPr>
        <xdr:cNvPr id="14" name="Rectangle: Rounded Corners 13">
          <a:extLst>
            <a:ext uri="{FF2B5EF4-FFF2-40B4-BE49-F238E27FC236}">
              <a16:creationId xmlns:a16="http://schemas.microsoft.com/office/drawing/2014/main" id="{2AC3AA2E-FC45-FCE3-2799-061D806570F2}"/>
            </a:ext>
          </a:extLst>
        </xdr:cNvPr>
        <xdr:cNvSpPr/>
      </xdr:nvSpPr>
      <xdr:spPr>
        <a:xfrm>
          <a:off x="7178040" y="114300"/>
          <a:ext cx="1973580" cy="2087033"/>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114300</xdr:colOff>
      <xdr:row>0</xdr:row>
      <xdr:rowOff>114300</xdr:rowOff>
    </xdr:from>
    <xdr:to>
      <xdr:col>18</xdr:col>
      <xdr:colOff>259080</xdr:colOff>
      <xdr:row>11</xdr:row>
      <xdr:rowOff>152400</xdr:rowOff>
    </xdr:to>
    <xdr:sp macro="" textlink="">
      <xdr:nvSpPr>
        <xdr:cNvPr id="15" name="Rectangle: Rounded Corners 14">
          <a:extLst>
            <a:ext uri="{FF2B5EF4-FFF2-40B4-BE49-F238E27FC236}">
              <a16:creationId xmlns:a16="http://schemas.microsoft.com/office/drawing/2014/main" id="{2E5BE47E-7320-0871-B5FA-2A42BCE2650C}"/>
            </a:ext>
          </a:extLst>
        </xdr:cNvPr>
        <xdr:cNvSpPr/>
      </xdr:nvSpPr>
      <xdr:spPr>
        <a:xfrm>
          <a:off x="9258300" y="114300"/>
          <a:ext cx="1973580" cy="204978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520065</xdr:colOff>
      <xdr:row>12</xdr:row>
      <xdr:rowOff>89535</xdr:rowOff>
    </xdr:from>
    <xdr:to>
      <xdr:col>18</xdr:col>
      <xdr:colOff>321945</xdr:colOff>
      <xdr:row>27</xdr:row>
      <xdr:rowOff>127635</xdr:rowOff>
    </xdr:to>
    <xdr:sp macro="" textlink="">
      <xdr:nvSpPr>
        <xdr:cNvPr id="17" name="Rectangle: Rounded Corners 16">
          <a:extLst>
            <a:ext uri="{FF2B5EF4-FFF2-40B4-BE49-F238E27FC236}">
              <a16:creationId xmlns:a16="http://schemas.microsoft.com/office/drawing/2014/main" id="{9BFC51E5-040B-42F0-ACCC-94A226CD543C}"/>
            </a:ext>
          </a:extLst>
        </xdr:cNvPr>
        <xdr:cNvSpPr/>
      </xdr:nvSpPr>
      <xdr:spPr>
        <a:xfrm>
          <a:off x="7225665" y="2261235"/>
          <a:ext cx="4069080" cy="2752725"/>
        </a:xfrm>
        <a:prstGeom prst="roundRect">
          <a:avLst>
            <a:gd name="adj" fmla="val 6836"/>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381000</xdr:colOff>
      <xdr:row>0</xdr:row>
      <xdr:rowOff>145626</xdr:rowOff>
    </xdr:from>
    <xdr:to>
      <xdr:col>21</xdr:col>
      <xdr:colOff>414868</xdr:colOff>
      <xdr:row>27</xdr:row>
      <xdr:rowOff>101599</xdr:rowOff>
    </xdr:to>
    <xdr:sp macro="" textlink="">
      <xdr:nvSpPr>
        <xdr:cNvPr id="18" name="Rectangle: Rounded Corners 17">
          <a:extLst>
            <a:ext uri="{FF2B5EF4-FFF2-40B4-BE49-F238E27FC236}">
              <a16:creationId xmlns:a16="http://schemas.microsoft.com/office/drawing/2014/main" id="{20D3B9D1-3C6F-BD1E-9DFA-E27438A0E0C1}"/>
            </a:ext>
          </a:extLst>
        </xdr:cNvPr>
        <xdr:cNvSpPr/>
      </xdr:nvSpPr>
      <xdr:spPr>
        <a:xfrm>
          <a:off x="11353800" y="145626"/>
          <a:ext cx="1862668" cy="49851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lt1"/>
            </a:solidFill>
          </a:endParaRPr>
        </a:p>
      </xdr:txBody>
    </xdr:sp>
    <xdr:clientData/>
  </xdr:twoCellAnchor>
  <xdr:twoCellAnchor editAs="oneCell">
    <xdr:from>
      <xdr:col>5</xdr:col>
      <xdr:colOff>327660</xdr:colOff>
      <xdr:row>5</xdr:row>
      <xdr:rowOff>152401</xdr:rowOff>
    </xdr:from>
    <xdr:to>
      <xdr:col>8</xdr:col>
      <xdr:colOff>289560</xdr:colOff>
      <xdr:row>15</xdr:row>
      <xdr:rowOff>84668</xdr:rowOff>
    </xdr:to>
    <xdr:sp macro="" textlink="">
      <xdr:nvSpPr>
        <xdr:cNvPr id="38" name="Rectangle: Rounded Corners 37">
          <a:extLst>
            <a:ext uri="{FF2B5EF4-FFF2-40B4-BE49-F238E27FC236}">
              <a16:creationId xmlns:a16="http://schemas.microsoft.com/office/drawing/2014/main" id="{73B7DB47-E3B8-09BC-8334-9A9906910426}"/>
            </a:ext>
          </a:extLst>
        </xdr:cNvPr>
        <xdr:cNvSpPr/>
      </xdr:nvSpPr>
      <xdr:spPr>
        <a:xfrm>
          <a:off x="3375660" y="1083734"/>
          <a:ext cx="1790700" cy="1794934"/>
        </a:xfrm>
        <a:prstGeom prst="roundRect">
          <a:avLst>
            <a:gd name="adj" fmla="val 9382"/>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396240</xdr:colOff>
      <xdr:row>5</xdr:row>
      <xdr:rowOff>152401</xdr:rowOff>
    </xdr:from>
    <xdr:to>
      <xdr:col>11</xdr:col>
      <xdr:colOff>358140</xdr:colOff>
      <xdr:row>15</xdr:row>
      <xdr:rowOff>84668</xdr:rowOff>
    </xdr:to>
    <xdr:sp macro="" textlink="">
      <xdr:nvSpPr>
        <xdr:cNvPr id="39" name="Rectangle: Rounded Corners 38">
          <a:extLst>
            <a:ext uri="{FF2B5EF4-FFF2-40B4-BE49-F238E27FC236}">
              <a16:creationId xmlns:a16="http://schemas.microsoft.com/office/drawing/2014/main" id="{6585A44A-FF6E-CC70-9EE0-A25D6E8D64E8}"/>
            </a:ext>
          </a:extLst>
        </xdr:cNvPr>
        <xdr:cNvSpPr/>
      </xdr:nvSpPr>
      <xdr:spPr>
        <a:xfrm>
          <a:off x="5257607" y="1068730"/>
          <a:ext cx="1784913" cy="1764925"/>
        </a:xfrm>
        <a:prstGeom prst="roundRect">
          <a:avLst>
            <a:gd name="adj" fmla="val 9382"/>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423333</xdr:colOff>
      <xdr:row>0</xdr:row>
      <xdr:rowOff>126999</xdr:rowOff>
    </xdr:from>
    <xdr:ext cx="3242734" cy="313099"/>
    <xdr:sp macro="" textlink="">
      <xdr:nvSpPr>
        <xdr:cNvPr id="40" name="TextBox 39">
          <a:extLst>
            <a:ext uri="{FF2B5EF4-FFF2-40B4-BE49-F238E27FC236}">
              <a16:creationId xmlns:a16="http://schemas.microsoft.com/office/drawing/2014/main" id="{096DEEFF-BB70-DCDA-73A3-78558A746A48}"/>
            </a:ext>
          </a:extLst>
        </xdr:cNvPr>
        <xdr:cNvSpPr txBox="1"/>
      </xdr:nvSpPr>
      <xdr:spPr>
        <a:xfrm>
          <a:off x="1032933" y="126999"/>
          <a:ext cx="3242734" cy="313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r>
            <a:rPr lang="en-IN" sz="2000" b="1"/>
            <a:t>HOSPITAL EMERGENCY ROOM</a:t>
          </a:r>
        </a:p>
      </xdr:txBody>
    </xdr:sp>
    <xdr:clientData/>
  </xdr:oneCellAnchor>
  <xdr:oneCellAnchor>
    <xdr:from>
      <xdr:col>3</xdr:col>
      <xdr:colOff>84666</xdr:colOff>
      <xdr:row>2</xdr:row>
      <xdr:rowOff>101599</xdr:rowOff>
    </xdr:from>
    <xdr:ext cx="1684867" cy="313099"/>
    <xdr:sp macro="" textlink="">
      <xdr:nvSpPr>
        <xdr:cNvPr id="41" name="TextBox 40">
          <a:extLst>
            <a:ext uri="{FF2B5EF4-FFF2-40B4-BE49-F238E27FC236}">
              <a16:creationId xmlns:a16="http://schemas.microsoft.com/office/drawing/2014/main" id="{C9799BA7-6AA4-3F3D-E157-347F460F13B8}"/>
            </a:ext>
          </a:extLst>
        </xdr:cNvPr>
        <xdr:cNvSpPr txBox="1"/>
      </xdr:nvSpPr>
      <xdr:spPr>
        <a:xfrm>
          <a:off x="1913466" y="474132"/>
          <a:ext cx="1684867" cy="313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r>
            <a:rPr lang="en-IN" sz="2000" b="1"/>
            <a:t>DASHBOARD</a:t>
          </a:r>
        </a:p>
      </xdr:txBody>
    </xdr:sp>
    <xdr:clientData/>
  </xdr:oneCellAnchor>
  <xdr:twoCellAnchor editAs="oneCell">
    <xdr:from>
      <xdr:col>0</xdr:col>
      <xdr:colOff>152400</xdr:colOff>
      <xdr:row>0</xdr:row>
      <xdr:rowOff>33866</xdr:rowOff>
    </xdr:from>
    <xdr:to>
      <xdr:col>1</xdr:col>
      <xdr:colOff>457200</xdr:colOff>
      <xdr:row>5</xdr:row>
      <xdr:rowOff>16933</xdr:rowOff>
    </xdr:to>
    <xdr:pic>
      <xdr:nvPicPr>
        <xdr:cNvPr id="43" name="Graphic 42" descr="Hospital with solid fill">
          <a:extLst>
            <a:ext uri="{FF2B5EF4-FFF2-40B4-BE49-F238E27FC236}">
              <a16:creationId xmlns:a16="http://schemas.microsoft.com/office/drawing/2014/main" id="{0BBAAE62-28B2-FCB4-33F7-959450726E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33866"/>
          <a:ext cx="914400" cy="914400"/>
        </a:xfrm>
        <a:prstGeom prst="rect">
          <a:avLst/>
        </a:prstGeom>
      </xdr:spPr>
    </xdr:pic>
    <xdr:clientData/>
  </xdr:twoCellAnchor>
  <xdr:oneCellAnchor>
    <xdr:from>
      <xdr:col>2</xdr:col>
      <xdr:colOff>279399</xdr:colOff>
      <xdr:row>7</xdr:row>
      <xdr:rowOff>180500</xdr:rowOff>
    </xdr:from>
    <xdr:ext cx="1744134" cy="172227"/>
    <xdr:sp macro="" textlink="">
      <xdr:nvSpPr>
        <xdr:cNvPr id="44" name="TextBox 43">
          <a:extLst>
            <a:ext uri="{FF2B5EF4-FFF2-40B4-BE49-F238E27FC236}">
              <a16:creationId xmlns:a16="http://schemas.microsoft.com/office/drawing/2014/main" id="{85F4AA8C-EAF3-ACF0-F886-311CC003C763}"/>
            </a:ext>
          </a:extLst>
        </xdr:cNvPr>
        <xdr:cNvSpPr txBox="1"/>
      </xdr:nvSpPr>
      <xdr:spPr>
        <a:xfrm>
          <a:off x="1498599" y="1484367"/>
          <a:ext cx="1744134"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r>
            <a:rPr lang="en-US"/>
            <a:t> </a:t>
          </a:r>
        </a:p>
      </xdr:txBody>
    </xdr:sp>
    <xdr:clientData/>
  </xdr:oneCellAnchor>
  <xdr:oneCellAnchor>
    <xdr:from>
      <xdr:col>5</xdr:col>
      <xdr:colOff>327950</xdr:colOff>
      <xdr:row>9</xdr:row>
      <xdr:rowOff>159608</xdr:rowOff>
    </xdr:from>
    <xdr:ext cx="1788718" cy="281744"/>
    <xdr:sp macro="" textlink="">
      <xdr:nvSpPr>
        <xdr:cNvPr id="45" name="TextBox 44">
          <a:extLst>
            <a:ext uri="{FF2B5EF4-FFF2-40B4-BE49-F238E27FC236}">
              <a16:creationId xmlns:a16="http://schemas.microsoft.com/office/drawing/2014/main" id="{29F8E04A-F783-F4E1-0F4A-DCDC2F86A3D0}"/>
            </a:ext>
          </a:extLst>
        </xdr:cNvPr>
        <xdr:cNvSpPr txBox="1"/>
      </xdr:nvSpPr>
      <xdr:spPr>
        <a:xfrm>
          <a:off x="3366304" y="1809000"/>
          <a:ext cx="1788718" cy="281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r>
            <a:rPr lang="en-IN" sz="1800" b="0"/>
            <a:t>Avg</a:t>
          </a:r>
          <a:r>
            <a:rPr lang="en-IN" sz="1800" b="0" baseline="0"/>
            <a:t> Wait-Time(Min)</a:t>
          </a:r>
          <a:endParaRPr lang="en-IN" sz="1800" b="0"/>
        </a:p>
      </xdr:txBody>
    </xdr:sp>
    <xdr:clientData/>
  </xdr:oneCellAnchor>
  <xdr:oneCellAnchor>
    <xdr:from>
      <xdr:col>9</xdr:col>
      <xdr:colOff>96456</xdr:colOff>
      <xdr:row>9</xdr:row>
      <xdr:rowOff>155958</xdr:rowOff>
    </xdr:from>
    <xdr:ext cx="1067871" cy="281744"/>
    <xdr:sp macro="" textlink="">
      <xdr:nvSpPr>
        <xdr:cNvPr id="46" name="TextBox 45">
          <a:extLst>
            <a:ext uri="{FF2B5EF4-FFF2-40B4-BE49-F238E27FC236}">
              <a16:creationId xmlns:a16="http://schemas.microsoft.com/office/drawing/2014/main" id="{4B3961FF-3DE6-A051-CCA1-76A523A89493}"/>
            </a:ext>
          </a:extLst>
        </xdr:cNvPr>
        <xdr:cNvSpPr txBox="1"/>
      </xdr:nvSpPr>
      <xdr:spPr>
        <a:xfrm>
          <a:off x="5565494" y="1805350"/>
          <a:ext cx="1067871" cy="281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r>
            <a:rPr lang="en-IN" sz="1800" b="0"/>
            <a:t>Avg</a:t>
          </a:r>
          <a:r>
            <a:rPr lang="en-IN" sz="1800" b="0" baseline="0"/>
            <a:t> Rating</a:t>
          </a:r>
          <a:endParaRPr lang="en-IN" sz="1800" b="0"/>
        </a:p>
      </xdr:txBody>
    </xdr:sp>
    <xdr:clientData/>
  </xdr:oneCellAnchor>
  <xdr:oneCellAnchor>
    <xdr:from>
      <xdr:col>2</xdr:col>
      <xdr:colOff>262466</xdr:colOff>
      <xdr:row>9</xdr:row>
      <xdr:rowOff>125742</xdr:rowOff>
    </xdr:from>
    <xdr:ext cx="1744134" cy="281744"/>
    <xdr:sp macro="" textlink="">
      <xdr:nvSpPr>
        <xdr:cNvPr id="48" name="TextBox 47">
          <a:extLst>
            <a:ext uri="{FF2B5EF4-FFF2-40B4-BE49-F238E27FC236}">
              <a16:creationId xmlns:a16="http://schemas.microsoft.com/office/drawing/2014/main" id="{7E13B22B-04B0-810F-7E6D-2DAA92DC3573}"/>
            </a:ext>
          </a:extLst>
        </xdr:cNvPr>
        <xdr:cNvSpPr txBox="1"/>
      </xdr:nvSpPr>
      <xdr:spPr>
        <a:xfrm>
          <a:off x="1481666" y="1802142"/>
          <a:ext cx="1744134" cy="281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r>
            <a:rPr lang="en-IN" sz="1800" b="0"/>
            <a:t>No. Of Patients</a:t>
          </a:r>
        </a:p>
      </xdr:txBody>
    </xdr:sp>
    <xdr:clientData/>
  </xdr:oneCellAnchor>
  <xdr:oneCellAnchor>
    <xdr:from>
      <xdr:col>3</xdr:col>
      <xdr:colOff>203201</xdr:colOff>
      <xdr:row>6</xdr:row>
      <xdr:rowOff>152402</xdr:rowOff>
    </xdr:from>
    <xdr:ext cx="1270000" cy="355598"/>
    <xdr:sp macro="" textlink="'Pivot Table'!A4">
      <xdr:nvSpPr>
        <xdr:cNvPr id="49" name="TextBox 48">
          <a:extLst>
            <a:ext uri="{FF2B5EF4-FFF2-40B4-BE49-F238E27FC236}">
              <a16:creationId xmlns:a16="http://schemas.microsoft.com/office/drawing/2014/main" id="{03B21CEA-905C-9ECB-411A-F27DEDAF7F51}"/>
            </a:ext>
          </a:extLst>
        </xdr:cNvPr>
        <xdr:cNvSpPr txBox="1"/>
      </xdr:nvSpPr>
      <xdr:spPr>
        <a:xfrm>
          <a:off x="2032001" y="1270002"/>
          <a:ext cx="1270000" cy="355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fld id="{7FB17806-FA8E-4754-B66C-50A1941977FE}" type="TxLink">
            <a:rPr lang="en-US" sz="2000" b="1" i="0" u="none" strike="noStrike">
              <a:solidFill>
                <a:srgbClr val="000000"/>
              </a:solidFill>
              <a:latin typeface="Aptos Narrow"/>
            </a:rPr>
            <a:pPr algn="ctr"/>
            <a:t>530</a:t>
          </a:fld>
          <a:endParaRPr lang="en-IN" sz="2000" b="1"/>
        </a:p>
      </xdr:txBody>
    </xdr:sp>
    <xdr:clientData/>
  </xdr:oneCellAnchor>
  <xdr:oneCellAnchor>
    <xdr:from>
      <xdr:col>6</xdr:col>
      <xdr:colOff>491066</xdr:colOff>
      <xdr:row>7</xdr:row>
      <xdr:rowOff>33866</xdr:rowOff>
    </xdr:from>
    <xdr:ext cx="956732" cy="287867"/>
    <xdr:sp macro="" textlink="'Pivot Table'!A8">
      <xdr:nvSpPr>
        <xdr:cNvPr id="50" name="TextBox 49">
          <a:extLst>
            <a:ext uri="{FF2B5EF4-FFF2-40B4-BE49-F238E27FC236}">
              <a16:creationId xmlns:a16="http://schemas.microsoft.com/office/drawing/2014/main" id="{939D9298-2849-33E3-15DD-95CA337822D2}"/>
            </a:ext>
          </a:extLst>
        </xdr:cNvPr>
        <xdr:cNvSpPr txBox="1"/>
      </xdr:nvSpPr>
      <xdr:spPr>
        <a:xfrm>
          <a:off x="4148666" y="1337733"/>
          <a:ext cx="956732"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fld id="{11A23AC8-1F65-4488-BA0C-C5BABAAE74D9}" type="TxLink">
            <a:rPr lang="en-US" sz="2000" b="1" i="0" u="none" strike="noStrike">
              <a:solidFill>
                <a:srgbClr val="000000"/>
              </a:solidFill>
              <a:latin typeface="Aptos Narrow"/>
            </a:rPr>
            <a:pPr algn="ctr"/>
            <a:t>35.11</a:t>
          </a:fld>
          <a:endParaRPr lang="en-IN" sz="2000" b="1"/>
        </a:p>
      </xdr:txBody>
    </xdr:sp>
    <xdr:clientData/>
  </xdr:oneCellAnchor>
  <xdr:oneCellAnchor>
    <xdr:from>
      <xdr:col>10</xdr:col>
      <xdr:colOff>16934</xdr:colOff>
      <xdr:row>7</xdr:row>
      <xdr:rowOff>16932</xdr:rowOff>
    </xdr:from>
    <xdr:ext cx="1100664" cy="321734"/>
    <xdr:sp macro="" textlink="'Pivot Table'!A12">
      <xdr:nvSpPr>
        <xdr:cNvPr id="51" name="TextBox 50">
          <a:extLst>
            <a:ext uri="{FF2B5EF4-FFF2-40B4-BE49-F238E27FC236}">
              <a16:creationId xmlns:a16="http://schemas.microsoft.com/office/drawing/2014/main" id="{0EB54166-D09A-7583-97D8-2501D147827D}"/>
            </a:ext>
          </a:extLst>
        </xdr:cNvPr>
        <xdr:cNvSpPr txBox="1"/>
      </xdr:nvSpPr>
      <xdr:spPr>
        <a:xfrm>
          <a:off x="6112934" y="1297092"/>
          <a:ext cx="1100664" cy="321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fld id="{EF25CF67-52FB-42FC-93EB-915BAFD09133}" type="TxLink">
            <a:rPr lang="en-US" sz="2000" b="1" i="0" u="none" strike="noStrike">
              <a:solidFill>
                <a:srgbClr val="000000"/>
              </a:solidFill>
              <a:latin typeface="Aptos Narrow"/>
            </a:rPr>
            <a:pPr algn="ctr"/>
            <a:t>5.18</a:t>
          </a:fld>
          <a:endParaRPr lang="en-IN" sz="2000" b="1"/>
        </a:p>
      </xdr:txBody>
    </xdr:sp>
    <xdr:clientData/>
  </xdr:oneCellAnchor>
  <xdr:twoCellAnchor editAs="oneCell">
    <xdr:from>
      <xdr:col>2</xdr:col>
      <xdr:colOff>389468</xdr:colOff>
      <xdr:row>6</xdr:row>
      <xdr:rowOff>59267</xdr:rowOff>
    </xdr:from>
    <xdr:to>
      <xdr:col>3</xdr:col>
      <xdr:colOff>364068</xdr:colOff>
      <xdr:row>9</xdr:row>
      <xdr:rowOff>84667</xdr:rowOff>
    </xdr:to>
    <xdr:pic>
      <xdr:nvPicPr>
        <xdr:cNvPr id="53" name="Graphic 52" descr="Users with solid fill">
          <a:extLst>
            <a:ext uri="{FF2B5EF4-FFF2-40B4-BE49-F238E27FC236}">
              <a16:creationId xmlns:a16="http://schemas.microsoft.com/office/drawing/2014/main" id="{22E821CB-81F6-658D-3415-4F836CE3DED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08668" y="1176867"/>
          <a:ext cx="584200" cy="584200"/>
        </a:xfrm>
        <a:prstGeom prst="rect">
          <a:avLst/>
        </a:prstGeom>
      </xdr:spPr>
    </xdr:pic>
    <xdr:clientData/>
  </xdr:twoCellAnchor>
  <xdr:twoCellAnchor editAs="oneCell">
    <xdr:from>
      <xdr:col>5</xdr:col>
      <xdr:colOff>533400</xdr:colOff>
      <xdr:row>6</xdr:row>
      <xdr:rowOff>25400</xdr:rowOff>
    </xdr:from>
    <xdr:to>
      <xdr:col>6</xdr:col>
      <xdr:colOff>541867</xdr:colOff>
      <xdr:row>9</xdr:row>
      <xdr:rowOff>84667</xdr:rowOff>
    </xdr:to>
    <xdr:pic>
      <xdr:nvPicPr>
        <xdr:cNvPr id="55" name="Graphic 54" descr="Stopwatch with solid fill">
          <a:extLst>
            <a:ext uri="{FF2B5EF4-FFF2-40B4-BE49-F238E27FC236}">
              <a16:creationId xmlns:a16="http://schemas.microsoft.com/office/drawing/2014/main" id="{E12A3BC2-E838-28AB-351E-B2F99AA7ED2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81400" y="1143000"/>
          <a:ext cx="618067" cy="618067"/>
        </a:xfrm>
        <a:prstGeom prst="rect">
          <a:avLst/>
        </a:prstGeom>
      </xdr:spPr>
    </xdr:pic>
    <xdr:clientData/>
  </xdr:twoCellAnchor>
  <xdr:twoCellAnchor editAs="oneCell">
    <xdr:from>
      <xdr:col>9</xdr:col>
      <xdr:colOff>16933</xdr:colOff>
      <xdr:row>6</xdr:row>
      <xdr:rowOff>59266</xdr:rowOff>
    </xdr:from>
    <xdr:to>
      <xdr:col>10</xdr:col>
      <xdr:colOff>67733</xdr:colOff>
      <xdr:row>9</xdr:row>
      <xdr:rowOff>160866</xdr:rowOff>
    </xdr:to>
    <xdr:pic>
      <xdr:nvPicPr>
        <xdr:cNvPr id="57" name="Graphic 56" descr="Rating with solid fill">
          <a:extLst>
            <a:ext uri="{FF2B5EF4-FFF2-40B4-BE49-F238E27FC236}">
              <a16:creationId xmlns:a16="http://schemas.microsoft.com/office/drawing/2014/main" id="{CAD354B1-AA8E-B55A-D8EA-BD4DF26C9CE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03333" y="1176866"/>
          <a:ext cx="660400" cy="660400"/>
        </a:xfrm>
        <a:prstGeom prst="rect">
          <a:avLst/>
        </a:prstGeom>
      </xdr:spPr>
    </xdr:pic>
    <xdr:clientData/>
  </xdr:twoCellAnchor>
  <xdr:twoCellAnchor editAs="oneCell">
    <xdr:from>
      <xdr:col>0</xdr:col>
      <xdr:colOff>150707</xdr:colOff>
      <xdr:row>5</xdr:row>
      <xdr:rowOff>135467</xdr:rowOff>
    </xdr:from>
    <xdr:to>
      <xdr:col>2</xdr:col>
      <xdr:colOff>101601</xdr:colOff>
      <xdr:row>27</xdr:row>
      <xdr:rowOff>33600</xdr:rowOff>
    </xdr:to>
    <mc:AlternateContent xmlns:mc="http://schemas.openxmlformats.org/markup-compatibility/2006" xmlns:a14="http://schemas.microsoft.com/office/drawing/2010/main">
      <mc:Choice Requires="a14">
        <xdr:graphicFrame macro="">
          <xdr:nvGraphicFramePr>
            <xdr:cNvPr id="6" name="Date (Month) 1">
              <a:extLst>
                <a:ext uri="{FF2B5EF4-FFF2-40B4-BE49-F238E27FC236}">
                  <a16:creationId xmlns:a16="http://schemas.microsoft.com/office/drawing/2014/main" id="{18CB538A-E420-4808-A080-5D14055F99A2}"/>
                </a:ext>
                <a:ext uri="{147F2762-F138-4A5C-976F-8EAC2B608ADB}">
                  <a16:predDERef xmlns:a16="http://schemas.microsoft.com/office/drawing/2014/main" pred="{CAD354B1-AA8E-B55A-D8EA-BD4DF26C9CE0}"/>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50707" y="1066800"/>
              <a:ext cx="1170094" cy="39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270075</xdr:colOff>
      <xdr:row>10</xdr:row>
      <xdr:rowOff>125393</xdr:rowOff>
    </xdr:from>
    <xdr:to>
      <xdr:col>5</xdr:col>
      <xdr:colOff>212202</xdr:colOff>
      <xdr:row>15</xdr:row>
      <xdr:rowOff>30480</xdr:rowOff>
    </xdr:to>
    <xdr:graphicFrame macro="">
      <xdr:nvGraphicFramePr>
        <xdr:cNvPr id="9" name="Chart 8">
          <a:hlinkClick xmlns:r="http://schemas.openxmlformats.org/officeDocument/2006/relationships" r:id="rId9"/>
          <a:extLst>
            <a:ext uri="{FF2B5EF4-FFF2-40B4-BE49-F238E27FC236}">
              <a16:creationId xmlns:a16="http://schemas.microsoft.com/office/drawing/2014/main" id="{5BC231BA-C749-133C-F163-4F37367AD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297181</xdr:colOff>
      <xdr:row>11</xdr:row>
      <xdr:rowOff>57874</xdr:rowOff>
    </xdr:from>
    <xdr:to>
      <xdr:col>8</xdr:col>
      <xdr:colOff>270076</xdr:colOff>
      <xdr:row>15</xdr:row>
      <xdr:rowOff>24289</xdr:rowOff>
    </xdr:to>
    <xdr:graphicFrame macro="">
      <xdr:nvGraphicFramePr>
        <xdr:cNvPr id="12" name="Chart 11">
          <a:hlinkClick xmlns:r="http://schemas.openxmlformats.org/officeDocument/2006/relationships" r:id="rId11"/>
          <a:extLst>
            <a:ext uri="{FF2B5EF4-FFF2-40B4-BE49-F238E27FC236}">
              <a16:creationId xmlns:a16="http://schemas.microsoft.com/office/drawing/2014/main" id="{0425BAE8-29B5-4086-9CD9-C48437E72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358141</xdr:colOff>
      <xdr:row>10</xdr:row>
      <xdr:rowOff>106102</xdr:rowOff>
    </xdr:from>
    <xdr:to>
      <xdr:col>11</xdr:col>
      <xdr:colOff>388620</xdr:colOff>
      <xdr:row>15</xdr:row>
      <xdr:rowOff>103347</xdr:rowOff>
    </xdr:to>
    <xdr:graphicFrame macro="">
      <xdr:nvGraphicFramePr>
        <xdr:cNvPr id="16" name="Chart 15">
          <a:hlinkClick xmlns:r="http://schemas.openxmlformats.org/officeDocument/2006/relationships" r:id="rId13"/>
          <a:extLst>
            <a:ext uri="{FF2B5EF4-FFF2-40B4-BE49-F238E27FC236}">
              <a16:creationId xmlns:a16="http://schemas.microsoft.com/office/drawing/2014/main" id="{F7B0A2F7-0AE2-41AB-AA3B-CE4FAF587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11</xdr:col>
      <xdr:colOff>504824</xdr:colOff>
      <xdr:row>12</xdr:row>
      <xdr:rowOff>104776</xdr:rowOff>
    </xdr:from>
    <xdr:to>
      <xdr:col>18</xdr:col>
      <xdr:colOff>304800</xdr:colOff>
      <xdr:row>27</xdr:row>
      <xdr:rowOff>76201</xdr:rowOff>
    </xdr:to>
    <xdr:graphicFrame macro="">
      <xdr:nvGraphicFramePr>
        <xdr:cNvPr id="20" name="Chart 19">
          <a:extLst>
            <a:ext uri="{FF2B5EF4-FFF2-40B4-BE49-F238E27FC236}">
              <a16:creationId xmlns:a16="http://schemas.microsoft.com/office/drawing/2014/main" id="{243425CA-8997-4D0D-8007-9BD0AE090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259080</xdr:colOff>
      <xdr:row>16</xdr:row>
      <xdr:rowOff>50800</xdr:rowOff>
    </xdr:from>
    <xdr:to>
      <xdr:col>11</xdr:col>
      <xdr:colOff>313267</xdr:colOff>
      <xdr:row>26</xdr:row>
      <xdr:rowOff>8467</xdr:rowOff>
    </xdr:to>
    <xdr:graphicFrame macro="">
      <xdr:nvGraphicFramePr>
        <xdr:cNvPr id="11" name="Chart 10">
          <a:extLst>
            <a:ext uri="{FF2B5EF4-FFF2-40B4-BE49-F238E27FC236}">
              <a16:creationId xmlns:a16="http://schemas.microsoft.com/office/drawing/2014/main" id="{F0436BBA-4C95-48A5-B91E-7121EFA3E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4</xdr:col>
      <xdr:colOff>431801</xdr:colOff>
      <xdr:row>25</xdr:row>
      <xdr:rowOff>156363</xdr:rowOff>
    </xdr:from>
    <xdr:ext cx="2937932" cy="281744"/>
    <xdr:sp macro="" textlink="">
      <xdr:nvSpPr>
        <xdr:cNvPr id="13" name="TextBox 12">
          <a:extLst>
            <a:ext uri="{FF2B5EF4-FFF2-40B4-BE49-F238E27FC236}">
              <a16:creationId xmlns:a16="http://schemas.microsoft.com/office/drawing/2014/main" id="{60F026FE-2820-D71A-DCF6-1B22DF34A7CE}"/>
            </a:ext>
          </a:extLst>
        </xdr:cNvPr>
        <xdr:cNvSpPr txBox="1"/>
      </xdr:nvSpPr>
      <xdr:spPr>
        <a:xfrm>
          <a:off x="2870201" y="4813030"/>
          <a:ext cx="2937932" cy="281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r>
            <a:rPr lang="en-IN" sz="1800" b="1"/>
            <a:t>No.</a:t>
          </a:r>
          <a:r>
            <a:rPr lang="en-IN" sz="1800" b="1" baseline="0"/>
            <a:t> Of Patient By Age Group</a:t>
          </a:r>
          <a:endParaRPr lang="en-IN" sz="1800" b="1"/>
        </a:p>
      </xdr:txBody>
    </xdr:sp>
    <xdr:clientData/>
  </xdr:oneCellAnchor>
  <xdr:twoCellAnchor>
    <xdr:from>
      <xdr:col>11</xdr:col>
      <xdr:colOff>472440</xdr:colOff>
      <xdr:row>0</xdr:row>
      <xdr:rowOff>118533</xdr:rowOff>
    </xdr:from>
    <xdr:to>
      <xdr:col>15</xdr:col>
      <xdr:colOff>0</xdr:colOff>
      <xdr:row>11</xdr:row>
      <xdr:rowOff>8467</xdr:rowOff>
    </xdr:to>
    <xdr:graphicFrame macro="">
      <xdr:nvGraphicFramePr>
        <xdr:cNvPr id="21" name="Chart 20">
          <a:extLst>
            <a:ext uri="{FF2B5EF4-FFF2-40B4-BE49-F238E27FC236}">
              <a16:creationId xmlns:a16="http://schemas.microsoft.com/office/drawing/2014/main" id="{919814EB-070D-41F5-B315-6F35CF87F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12</xdr:col>
      <xdr:colOff>33868</xdr:colOff>
      <xdr:row>9</xdr:row>
      <xdr:rowOff>168074</xdr:rowOff>
    </xdr:from>
    <xdr:ext cx="1735666" cy="281744"/>
    <xdr:sp macro="" textlink="">
      <xdr:nvSpPr>
        <xdr:cNvPr id="22" name="TextBox 21">
          <a:extLst>
            <a:ext uri="{FF2B5EF4-FFF2-40B4-BE49-F238E27FC236}">
              <a16:creationId xmlns:a16="http://schemas.microsoft.com/office/drawing/2014/main" id="{2A4E70B8-4391-CFAE-DEC9-11879B04C98C}"/>
            </a:ext>
          </a:extLst>
        </xdr:cNvPr>
        <xdr:cNvSpPr txBox="1"/>
      </xdr:nvSpPr>
      <xdr:spPr>
        <a:xfrm>
          <a:off x="7349068" y="1844474"/>
          <a:ext cx="1735666" cy="281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r>
            <a:rPr lang="en-IN" sz="1800" b="0"/>
            <a:t>Patient Gender</a:t>
          </a:r>
        </a:p>
      </xdr:txBody>
    </xdr:sp>
    <xdr:clientData/>
  </xdr:oneCellAnchor>
  <xdr:oneCellAnchor>
    <xdr:from>
      <xdr:col>11</xdr:col>
      <xdr:colOff>499535</xdr:colOff>
      <xdr:row>13</xdr:row>
      <xdr:rowOff>8196</xdr:rowOff>
    </xdr:from>
    <xdr:ext cx="3953931" cy="281744"/>
    <xdr:sp macro="" textlink="">
      <xdr:nvSpPr>
        <xdr:cNvPr id="23" name="TextBox 22">
          <a:extLst>
            <a:ext uri="{FF2B5EF4-FFF2-40B4-BE49-F238E27FC236}">
              <a16:creationId xmlns:a16="http://schemas.microsoft.com/office/drawing/2014/main" id="{44002BEF-B60B-DF94-0605-BCCB7DCE0FB9}"/>
            </a:ext>
          </a:extLst>
        </xdr:cNvPr>
        <xdr:cNvSpPr txBox="1"/>
      </xdr:nvSpPr>
      <xdr:spPr>
        <a:xfrm>
          <a:off x="7205135" y="2429663"/>
          <a:ext cx="3953931" cy="281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r>
            <a:rPr lang="en-IN" sz="1800" b="1"/>
            <a:t>No.</a:t>
          </a:r>
          <a:r>
            <a:rPr lang="en-IN" sz="1800" b="1" baseline="0"/>
            <a:t> Of Patient By Department Refral</a:t>
          </a:r>
          <a:endParaRPr lang="en-IN" sz="1800" b="1"/>
        </a:p>
      </xdr:txBody>
    </xdr:sp>
    <xdr:clientData/>
  </xdr:oneCellAnchor>
  <xdr:twoCellAnchor>
    <xdr:from>
      <xdr:col>15</xdr:col>
      <xdr:colOff>97366</xdr:colOff>
      <xdr:row>0</xdr:row>
      <xdr:rowOff>29633</xdr:rowOff>
    </xdr:from>
    <xdr:to>
      <xdr:col>18</xdr:col>
      <xdr:colOff>228599</xdr:colOff>
      <xdr:row>10</xdr:row>
      <xdr:rowOff>101599</xdr:rowOff>
    </xdr:to>
    <xdr:graphicFrame macro="">
      <xdr:nvGraphicFramePr>
        <xdr:cNvPr id="26" name="Chart 25">
          <a:extLst>
            <a:ext uri="{FF2B5EF4-FFF2-40B4-BE49-F238E27FC236}">
              <a16:creationId xmlns:a16="http://schemas.microsoft.com/office/drawing/2014/main" id="{60BC176F-B50A-40D8-85B7-B64618BED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18</xdr:col>
      <xdr:colOff>423332</xdr:colOff>
      <xdr:row>0</xdr:row>
      <xdr:rowOff>110066</xdr:rowOff>
    </xdr:from>
    <xdr:to>
      <xdr:col>22</xdr:col>
      <xdr:colOff>586739</xdr:colOff>
      <xdr:row>27</xdr:row>
      <xdr:rowOff>110066</xdr:rowOff>
    </xdr:to>
    <xdr:sp macro="" textlink="">
      <xdr:nvSpPr>
        <xdr:cNvPr id="27" name="Rectangle: Rounded Corners 26">
          <a:extLst>
            <a:ext uri="{FF2B5EF4-FFF2-40B4-BE49-F238E27FC236}">
              <a16:creationId xmlns:a16="http://schemas.microsoft.com/office/drawing/2014/main" id="{6CD85EB5-B9C2-D497-1560-285A1D4D851E}"/>
            </a:ext>
          </a:extLst>
        </xdr:cNvPr>
        <xdr:cNvSpPr/>
      </xdr:nvSpPr>
      <xdr:spPr>
        <a:xfrm>
          <a:off x="11396132" y="110066"/>
          <a:ext cx="2601807" cy="502920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161925</xdr:colOff>
      <xdr:row>2</xdr:row>
      <xdr:rowOff>57873</xdr:rowOff>
    </xdr:from>
    <xdr:to>
      <xdr:col>11</xdr:col>
      <xdr:colOff>333375</xdr:colOff>
      <xdr:row>5</xdr:row>
      <xdr:rowOff>28815</xdr:rowOff>
    </xdr:to>
    <mc:AlternateContent xmlns:mc="http://schemas.openxmlformats.org/markup-compatibility/2006" xmlns:a14="http://schemas.microsoft.com/office/drawing/2010/main">
      <mc:Choice Requires="a14">
        <xdr:graphicFrame macro="">
          <xdr:nvGraphicFramePr>
            <xdr:cNvPr id="24" name="Date (Year)">
              <a:extLst>
                <a:ext uri="{FF2B5EF4-FFF2-40B4-BE49-F238E27FC236}">
                  <a16:creationId xmlns:a16="http://schemas.microsoft.com/office/drawing/2014/main" id="{936C43A4-5BA8-4D2C-B44C-A5673DE5F3D0}"/>
                </a:ext>
                <a:ext uri="{147F2762-F138-4A5C-976F-8EAC2B608ADB}">
                  <a16:predDERef xmlns:a16="http://schemas.microsoft.com/office/drawing/2014/main" pred="{6CD85EB5-B9C2-D497-1560-285A1D4D851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415621" y="424405"/>
              <a:ext cx="2602134" cy="520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18</xdr:col>
      <xdr:colOff>406400</xdr:colOff>
      <xdr:row>13</xdr:row>
      <xdr:rowOff>50800</xdr:rowOff>
    </xdr:from>
    <xdr:to>
      <xdr:col>22</xdr:col>
      <xdr:colOff>575733</xdr:colOff>
      <xdr:row>27</xdr:row>
      <xdr:rowOff>42332</xdr:rowOff>
    </xdr:to>
    <xdr:graphicFrame macro="">
      <xdr:nvGraphicFramePr>
        <xdr:cNvPr id="30" name="Chart 29">
          <a:extLst>
            <a:ext uri="{FF2B5EF4-FFF2-40B4-BE49-F238E27FC236}">
              <a16:creationId xmlns:a16="http://schemas.microsoft.com/office/drawing/2014/main" id="{A293B7BE-44CD-47BD-B97C-E8B12F085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15</xdr:col>
      <xdr:colOff>228601</xdr:colOff>
      <xdr:row>9</xdr:row>
      <xdr:rowOff>125741</xdr:rowOff>
    </xdr:from>
    <xdr:ext cx="1735666" cy="281744"/>
    <xdr:sp macro="" textlink="">
      <xdr:nvSpPr>
        <xdr:cNvPr id="31" name="TextBox 30">
          <a:extLst>
            <a:ext uri="{FF2B5EF4-FFF2-40B4-BE49-F238E27FC236}">
              <a16:creationId xmlns:a16="http://schemas.microsoft.com/office/drawing/2014/main" id="{1237B493-C67D-1ED4-4930-26FD33E2C5DC}"/>
            </a:ext>
          </a:extLst>
        </xdr:cNvPr>
        <xdr:cNvSpPr txBox="1"/>
      </xdr:nvSpPr>
      <xdr:spPr>
        <a:xfrm>
          <a:off x="9372601" y="1802141"/>
          <a:ext cx="1735666" cy="281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r>
            <a:rPr lang="en-IN" sz="1800" b="0"/>
            <a:t>Wait-Time</a:t>
          </a:r>
        </a:p>
      </xdr:txBody>
    </xdr:sp>
    <xdr:clientData/>
  </xdr:oneCellAnchor>
  <xdr:oneCellAnchor>
    <xdr:from>
      <xdr:col>18</xdr:col>
      <xdr:colOff>559443</xdr:colOff>
      <xdr:row>1</xdr:row>
      <xdr:rowOff>32249</xdr:rowOff>
    </xdr:from>
    <xdr:ext cx="2222169" cy="450029"/>
    <xdr:sp macro="" textlink="">
      <xdr:nvSpPr>
        <xdr:cNvPr id="32" name="TextBox 31">
          <a:extLst>
            <a:ext uri="{FF2B5EF4-FFF2-40B4-BE49-F238E27FC236}">
              <a16:creationId xmlns:a16="http://schemas.microsoft.com/office/drawing/2014/main" id="{F092D861-AC37-2CAD-71E6-CDEA5AA58497}"/>
            </a:ext>
          </a:extLst>
        </xdr:cNvPr>
        <xdr:cNvSpPr txBox="1"/>
      </xdr:nvSpPr>
      <xdr:spPr>
        <a:xfrm>
          <a:off x="11497519" y="215515"/>
          <a:ext cx="2222169" cy="450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r>
            <a:rPr lang="en-IN" sz="2000" b="1">
              <a:solidFill>
                <a:schemeClr val="tx1">
                  <a:lumMod val="95000"/>
                  <a:lumOff val="5000"/>
                </a:schemeClr>
              </a:solidFill>
            </a:rPr>
            <a:t>Admission</a:t>
          </a:r>
          <a:r>
            <a:rPr lang="en-IN" sz="2000" b="1" baseline="0">
              <a:solidFill>
                <a:schemeClr val="tx1">
                  <a:lumMod val="95000"/>
                  <a:lumOff val="5000"/>
                </a:schemeClr>
              </a:solidFill>
            </a:rPr>
            <a:t> Status</a:t>
          </a:r>
          <a:endParaRPr lang="en-IN" sz="2000" b="1">
            <a:solidFill>
              <a:schemeClr val="tx1">
                <a:lumMod val="95000"/>
                <a:lumOff val="5000"/>
              </a:schemeClr>
            </a:solidFill>
          </a:endParaRPr>
        </a:p>
      </xdr:txBody>
    </xdr:sp>
    <xdr:clientData/>
  </xdr:oneCellAnchor>
  <xdr:twoCellAnchor>
    <xdr:from>
      <xdr:col>0</xdr:col>
      <xdr:colOff>126999</xdr:colOff>
      <xdr:row>28</xdr:row>
      <xdr:rowOff>25398</xdr:rowOff>
    </xdr:from>
    <xdr:to>
      <xdr:col>23</xdr:col>
      <xdr:colOff>9646</xdr:colOff>
      <xdr:row>38</xdr:row>
      <xdr:rowOff>28938</xdr:rowOff>
    </xdr:to>
    <xdr:sp macro="" textlink="">
      <xdr:nvSpPr>
        <xdr:cNvPr id="5" name="TextBox 4">
          <a:extLst>
            <a:ext uri="{FF2B5EF4-FFF2-40B4-BE49-F238E27FC236}">
              <a16:creationId xmlns:a16="http://schemas.microsoft.com/office/drawing/2014/main" id="{FD32EAC5-94E5-126C-BFF1-3933CA646FB3}"/>
            </a:ext>
          </a:extLst>
        </xdr:cNvPr>
        <xdr:cNvSpPr txBox="1"/>
      </xdr:nvSpPr>
      <xdr:spPr>
        <a:xfrm>
          <a:off x="126999" y="5156841"/>
          <a:ext cx="13859077" cy="1836198"/>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2000" b="1">
              <a:solidFill>
                <a:schemeClr val="accent1">
                  <a:lumMod val="50000"/>
                </a:schemeClr>
              </a:solidFill>
            </a:rPr>
            <a:t>Key</a:t>
          </a:r>
          <a:r>
            <a:rPr lang="en-IN" sz="2000" b="1" baseline="0">
              <a:solidFill>
                <a:schemeClr val="accent1">
                  <a:lumMod val="50000"/>
                </a:schemeClr>
              </a:solidFill>
            </a:rPr>
            <a:t> Insights (2023-2024)</a:t>
          </a:r>
          <a:br>
            <a:rPr lang="en-IN" sz="1800" b="1"/>
          </a:br>
          <a:r>
            <a:rPr lang="en-IN" sz="1800" b="1" i="0" u="none" strike="noStrike">
              <a:solidFill>
                <a:schemeClr val="dk1"/>
              </a:solidFill>
              <a:effectLst/>
              <a:latin typeface="+mn-lt"/>
              <a:ea typeface="+mn-ea"/>
              <a:cs typeface="+mn-cs"/>
            </a:rPr>
            <a:t>Traffic Growth</a:t>
          </a:r>
          <a:r>
            <a:rPr lang="en-IN" sz="1800" b="0" i="0" u="none" strike="noStrike">
              <a:solidFill>
                <a:schemeClr val="dk1"/>
              </a:solidFill>
              <a:effectLst/>
              <a:latin typeface="+mn-lt"/>
              <a:ea typeface="+mn-ea"/>
              <a:cs typeface="+mn-cs"/>
            </a:rPr>
            <a:t>: Total visits reached 9,216, showing a 12.4% surge from 2023 to 2024.</a:t>
          </a:r>
          <a:endParaRPr lang="en-IN" sz="2000">
            <a:effectLst/>
          </a:endParaRPr>
        </a:p>
        <a:p>
          <a:pPr rtl="0"/>
          <a:r>
            <a:rPr lang="en-IN" sz="1800" b="1" i="0" u="none" strike="noStrike">
              <a:solidFill>
                <a:schemeClr val="dk1"/>
              </a:solidFill>
              <a:effectLst/>
              <a:latin typeface="+mn-lt"/>
              <a:ea typeface="+mn-ea"/>
              <a:cs typeface="+mn-cs"/>
            </a:rPr>
            <a:t>Stable Efficiency:</a:t>
          </a:r>
          <a:r>
            <a:rPr lang="en-IN" sz="1800" b="0" i="0" u="none" strike="noStrike">
              <a:solidFill>
                <a:schemeClr val="dk1"/>
              </a:solidFill>
              <a:effectLst/>
              <a:latin typeface="+mn-lt"/>
              <a:ea typeface="+mn-ea"/>
              <a:cs typeface="+mn-cs"/>
            </a:rPr>
            <a:t> Average wait time remained steady at 35.3 minutes despite the volume increase.</a:t>
          </a:r>
          <a:endParaRPr lang="en-IN" sz="2000">
            <a:effectLst/>
          </a:endParaRPr>
        </a:p>
        <a:p>
          <a:pPr rtl="0"/>
          <a:r>
            <a:rPr lang="en-IN" sz="1800" b="1" i="0" u="none" strike="noStrike">
              <a:solidFill>
                <a:schemeClr val="dk1"/>
              </a:solidFill>
              <a:effectLst/>
              <a:latin typeface="+mn-lt"/>
              <a:ea typeface="+mn-ea"/>
              <a:cs typeface="+mn-cs"/>
            </a:rPr>
            <a:t>Top Driver:</a:t>
          </a:r>
          <a:r>
            <a:rPr lang="en-IN" sz="1800" b="0" i="0" u="none" strike="noStrike">
              <a:solidFill>
                <a:schemeClr val="dk1"/>
              </a:solidFill>
              <a:effectLst/>
              <a:latin typeface="+mn-lt"/>
              <a:ea typeface="+mn-ea"/>
              <a:cs typeface="+mn-cs"/>
            </a:rPr>
            <a:t> General Practice is the highest source of referrals (1,840 patients).</a:t>
          </a:r>
          <a:endParaRPr lang="en-IN" sz="2000">
            <a:effectLst/>
          </a:endParaRPr>
        </a:p>
        <a:p>
          <a:r>
            <a:rPr lang="en-IN" sz="1800" b="1" i="0" u="none" strike="noStrike">
              <a:solidFill>
                <a:schemeClr val="dk1"/>
              </a:solidFill>
              <a:effectLst/>
              <a:latin typeface="+mn-lt"/>
              <a:ea typeface="+mn-ea"/>
              <a:cs typeface="+mn-cs"/>
            </a:rPr>
            <a:t>Bottlenecks:</a:t>
          </a:r>
          <a:r>
            <a:rPr lang="en-IN" sz="1800" b="0" i="0" u="none" strike="noStrike">
              <a:solidFill>
                <a:schemeClr val="dk1"/>
              </a:solidFill>
              <a:effectLst/>
              <a:latin typeface="+mn-lt"/>
              <a:ea typeface="+mn-ea"/>
              <a:cs typeface="+mn-cs"/>
            </a:rPr>
            <a:t> Neurology (36.8 min) and Physiotherapy (36.5 min) have the longest patient delays.</a:t>
          </a:r>
          <a:br>
            <a:rPr lang="en-IN" sz="1800" b="0" i="0" u="none" strike="noStrike">
              <a:solidFill>
                <a:schemeClr val="dk1"/>
              </a:solidFill>
              <a:effectLst/>
              <a:latin typeface="+mn-lt"/>
              <a:ea typeface="+mn-ea"/>
              <a:cs typeface="+mn-cs"/>
            </a:rPr>
          </a:br>
          <a:r>
            <a:rPr lang="en-IN" sz="1800" b="1" i="0" u="none" strike="noStrike">
              <a:solidFill>
                <a:schemeClr val="dk1"/>
              </a:solidFill>
              <a:effectLst/>
              <a:latin typeface="+mn-lt"/>
              <a:ea typeface="+mn-ea"/>
              <a:cs typeface="+mn-cs"/>
            </a:rPr>
            <a:t>Satisfaction:</a:t>
          </a:r>
          <a:r>
            <a:rPr lang="en-IN" sz="1800" b="0" i="0" u="none" strike="noStrike">
              <a:solidFill>
                <a:schemeClr val="dk1"/>
              </a:solidFill>
              <a:effectLst/>
              <a:latin typeface="+mn-lt"/>
              <a:ea typeface="+mn-ea"/>
              <a:cs typeface="+mn-cs"/>
            </a:rPr>
            <a:t> Baseline score is low (4.99/10) and does not correlate with wait times, pointing to clinical care/facility issues rather than speed</a:t>
          </a:r>
          <a:r>
            <a:rPr lang="en-IN" sz="1100" b="0" i="0" u="none" strike="noStrike">
              <a:solidFill>
                <a:schemeClr val="dk1"/>
              </a:solidFill>
              <a:effectLst/>
              <a:latin typeface="+mn-lt"/>
              <a:ea typeface="+mn-ea"/>
              <a:cs typeface="+mn-cs"/>
            </a:rPr>
            <a:t>.</a:t>
          </a:r>
          <a:endParaRPr lang="en-IN" sz="1200"/>
        </a:p>
      </xdr:txBody>
    </xdr:sp>
    <xdr:clientData/>
  </xdr:twoCellAnchor>
  <xdr:twoCellAnchor>
    <xdr:from>
      <xdr:col>18</xdr:col>
      <xdr:colOff>472632</xdr:colOff>
      <xdr:row>4</xdr:row>
      <xdr:rowOff>106102</xdr:rowOff>
    </xdr:from>
    <xdr:to>
      <xdr:col>20</xdr:col>
      <xdr:colOff>356885</xdr:colOff>
      <xdr:row>6</xdr:row>
      <xdr:rowOff>125393</xdr:rowOff>
    </xdr:to>
    <xdr:sp macro="" textlink="">
      <xdr:nvSpPr>
        <xdr:cNvPr id="7" name="Rectangle 6">
          <a:extLst>
            <a:ext uri="{FF2B5EF4-FFF2-40B4-BE49-F238E27FC236}">
              <a16:creationId xmlns:a16="http://schemas.microsoft.com/office/drawing/2014/main" id="{2979F903-5FC7-8E00-0B12-B27745258C54}"/>
            </a:ext>
          </a:extLst>
        </xdr:cNvPr>
        <xdr:cNvSpPr/>
      </xdr:nvSpPr>
      <xdr:spPr>
        <a:xfrm>
          <a:off x="11410708" y="839165"/>
          <a:ext cx="1099595" cy="385823"/>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bg2">
                  <a:lumMod val="10000"/>
                </a:schemeClr>
              </a:solidFill>
            </a:rPr>
            <a:t>Admitted</a:t>
          </a:r>
        </a:p>
        <a:p>
          <a:pPr algn="l"/>
          <a:endParaRPr lang="en-IN" sz="1800">
            <a:solidFill>
              <a:schemeClr val="bg2">
                <a:lumMod val="10000"/>
              </a:schemeClr>
            </a:solidFill>
          </a:endParaRPr>
        </a:p>
      </xdr:txBody>
    </xdr:sp>
    <xdr:clientData/>
  </xdr:twoCellAnchor>
  <xdr:twoCellAnchor>
    <xdr:from>
      <xdr:col>18</xdr:col>
      <xdr:colOff>453341</xdr:colOff>
      <xdr:row>7</xdr:row>
      <xdr:rowOff>48227</xdr:rowOff>
    </xdr:from>
    <xdr:to>
      <xdr:col>21</xdr:col>
      <xdr:colOff>38581</xdr:colOff>
      <xdr:row>9</xdr:row>
      <xdr:rowOff>67519</xdr:rowOff>
    </xdr:to>
    <xdr:sp macro="" textlink="">
      <xdr:nvSpPr>
        <xdr:cNvPr id="25" name="Rectangle 24">
          <a:extLst>
            <a:ext uri="{FF2B5EF4-FFF2-40B4-BE49-F238E27FC236}">
              <a16:creationId xmlns:a16="http://schemas.microsoft.com/office/drawing/2014/main" id="{1A345080-F440-2B16-5B23-E29BCDEA34A9}"/>
            </a:ext>
          </a:extLst>
        </xdr:cNvPr>
        <xdr:cNvSpPr/>
      </xdr:nvSpPr>
      <xdr:spPr>
        <a:xfrm>
          <a:off x="11391417" y="1331088"/>
          <a:ext cx="1408253" cy="385823"/>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bg2">
                  <a:lumMod val="10000"/>
                </a:schemeClr>
              </a:solidFill>
            </a:rPr>
            <a:t>Not Admitted</a:t>
          </a:r>
        </a:p>
        <a:p>
          <a:pPr algn="l"/>
          <a:endParaRPr lang="en-IN" sz="1800">
            <a:solidFill>
              <a:schemeClr val="bg2">
                <a:lumMod val="10000"/>
              </a:schemeClr>
            </a:solidFill>
          </a:endParaRPr>
        </a:p>
      </xdr:txBody>
    </xdr:sp>
    <xdr:clientData/>
  </xdr:twoCellAnchor>
  <xdr:twoCellAnchor>
    <xdr:from>
      <xdr:col>18</xdr:col>
      <xdr:colOff>462987</xdr:colOff>
      <xdr:row>10</xdr:row>
      <xdr:rowOff>9645</xdr:rowOff>
    </xdr:from>
    <xdr:to>
      <xdr:col>20</xdr:col>
      <xdr:colOff>443696</xdr:colOff>
      <xdr:row>12</xdr:row>
      <xdr:rowOff>28936</xdr:rowOff>
    </xdr:to>
    <xdr:sp macro="" textlink="">
      <xdr:nvSpPr>
        <xdr:cNvPr id="28" name="Rectangle 27">
          <a:extLst>
            <a:ext uri="{FF2B5EF4-FFF2-40B4-BE49-F238E27FC236}">
              <a16:creationId xmlns:a16="http://schemas.microsoft.com/office/drawing/2014/main" id="{7447AC58-8BFB-D0BC-3B28-B4A98F877024}"/>
            </a:ext>
          </a:extLst>
        </xdr:cNvPr>
        <xdr:cNvSpPr/>
      </xdr:nvSpPr>
      <xdr:spPr>
        <a:xfrm>
          <a:off x="11401063" y="1842303"/>
          <a:ext cx="1196051" cy="385823"/>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rgbClr val="002060"/>
              </a:solidFill>
            </a:rPr>
            <a:t>Admitted</a:t>
          </a:r>
        </a:p>
        <a:p>
          <a:pPr algn="l"/>
          <a:endParaRPr lang="en-IN" sz="1800">
            <a:solidFill>
              <a:schemeClr val="bg2">
                <a:lumMod val="10000"/>
              </a:schemeClr>
            </a:solidFill>
          </a:endParaRPr>
        </a:p>
      </xdr:txBody>
    </xdr:sp>
    <xdr:clientData/>
  </xdr:twoCellAnchor>
  <xdr:twoCellAnchor>
    <xdr:from>
      <xdr:col>21</xdr:col>
      <xdr:colOff>376176</xdr:colOff>
      <xdr:row>4</xdr:row>
      <xdr:rowOff>106102</xdr:rowOff>
    </xdr:from>
    <xdr:to>
      <xdr:col>22</xdr:col>
      <xdr:colOff>549797</xdr:colOff>
      <xdr:row>6</xdr:row>
      <xdr:rowOff>125393</xdr:rowOff>
    </xdr:to>
    <xdr:sp macro="" textlink="'Pivot Table'!E47">
      <xdr:nvSpPr>
        <xdr:cNvPr id="29" name="Rectangle 28">
          <a:extLst>
            <a:ext uri="{FF2B5EF4-FFF2-40B4-BE49-F238E27FC236}">
              <a16:creationId xmlns:a16="http://schemas.microsoft.com/office/drawing/2014/main" id="{54330575-29F4-6EBA-FDFD-C6BF4F4BA830}"/>
            </a:ext>
          </a:extLst>
        </xdr:cNvPr>
        <xdr:cNvSpPr/>
      </xdr:nvSpPr>
      <xdr:spPr>
        <a:xfrm>
          <a:off x="13137265" y="839165"/>
          <a:ext cx="781291" cy="385823"/>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2387594-EC4D-4B2C-9314-332DCEC3A363}" type="TxLink">
            <a:rPr lang="en-US" sz="1800" b="0" i="0" u="none" strike="noStrike">
              <a:solidFill>
                <a:srgbClr val="000000"/>
              </a:solidFill>
              <a:latin typeface="Aptos Narrow"/>
            </a:rPr>
            <a:pPr algn="l"/>
            <a:t>242</a:t>
          </a:fld>
          <a:endParaRPr lang="en-IN" sz="3200">
            <a:solidFill>
              <a:schemeClr val="bg2">
                <a:lumMod val="10000"/>
              </a:schemeClr>
            </a:solidFill>
          </a:endParaRPr>
        </a:p>
      </xdr:txBody>
    </xdr:sp>
    <xdr:clientData/>
  </xdr:twoCellAnchor>
  <xdr:twoCellAnchor>
    <xdr:from>
      <xdr:col>21</xdr:col>
      <xdr:colOff>376177</xdr:colOff>
      <xdr:row>7</xdr:row>
      <xdr:rowOff>38582</xdr:rowOff>
    </xdr:from>
    <xdr:to>
      <xdr:col>22</xdr:col>
      <xdr:colOff>549798</xdr:colOff>
      <xdr:row>9</xdr:row>
      <xdr:rowOff>57874</xdr:rowOff>
    </xdr:to>
    <xdr:sp macro="" textlink="'Pivot Table'!E48">
      <xdr:nvSpPr>
        <xdr:cNvPr id="33" name="Rectangle 32">
          <a:extLst>
            <a:ext uri="{FF2B5EF4-FFF2-40B4-BE49-F238E27FC236}">
              <a16:creationId xmlns:a16="http://schemas.microsoft.com/office/drawing/2014/main" id="{69F00170-3D0C-C13C-E69B-7D42BBBA0593}"/>
            </a:ext>
          </a:extLst>
        </xdr:cNvPr>
        <xdr:cNvSpPr/>
      </xdr:nvSpPr>
      <xdr:spPr>
        <a:xfrm>
          <a:off x="13137266" y="1321443"/>
          <a:ext cx="781291" cy="385823"/>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5611993-C411-408D-AB17-AF8D31C89835}" type="TxLink">
            <a:rPr lang="en-US" sz="1800" b="0" i="0" u="none" strike="noStrike">
              <a:solidFill>
                <a:srgbClr val="000000"/>
              </a:solidFill>
              <a:latin typeface="Aptos Narrow"/>
            </a:rPr>
            <a:pPr algn="l"/>
            <a:t>288</a:t>
          </a:fld>
          <a:endParaRPr lang="en-IN" sz="3200">
            <a:solidFill>
              <a:schemeClr val="bg2">
                <a:lumMod val="10000"/>
              </a:schemeClr>
            </a:solidFill>
          </a:endParaRPr>
        </a:p>
      </xdr:txBody>
    </xdr:sp>
    <xdr:clientData/>
  </xdr:twoCellAnchor>
  <xdr:twoCellAnchor>
    <xdr:from>
      <xdr:col>21</xdr:col>
      <xdr:colOff>327949</xdr:colOff>
      <xdr:row>10</xdr:row>
      <xdr:rowOff>19291</xdr:rowOff>
    </xdr:from>
    <xdr:to>
      <xdr:col>22</xdr:col>
      <xdr:colOff>549798</xdr:colOff>
      <xdr:row>12</xdr:row>
      <xdr:rowOff>38582</xdr:rowOff>
    </xdr:to>
    <xdr:sp macro="" textlink="'Pivot Table'!E49">
      <xdr:nvSpPr>
        <xdr:cNvPr id="34" name="Rectangle 33">
          <a:extLst>
            <a:ext uri="{FF2B5EF4-FFF2-40B4-BE49-F238E27FC236}">
              <a16:creationId xmlns:a16="http://schemas.microsoft.com/office/drawing/2014/main" id="{F697ACE4-D9BF-C7FD-496F-49F69EF4E77A}"/>
            </a:ext>
          </a:extLst>
        </xdr:cNvPr>
        <xdr:cNvSpPr/>
      </xdr:nvSpPr>
      <xdr:spPr>
        <a:xfrm>
          <a:off x="13089038" y="1851949"/>
          <a:ext cx="829519" cy="385823"/>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8617076-00CB-4F75-8796-0BBB3A856F2D}" type="TxLink">
            <a:rPr lang="en-US" sz="2000" b="1" i="0" u="none" strike="noStrike">
              <a:solidFill>
                <a:srgbClr val="002060"/>
              </a:solidFill>
              <a:latin typeface="Aptos Narrow"/>
            </a:rPr>
            <a:pPr algn="l"/>
            <a:t>530</a:t>
          </a:fld>
          <a:endParaRPr lang="en-IN" sz="2000" b="1">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167640</xdr:colOff>
      <xdr:row>0</xdr:row>
      <xdr:rowOff>87630</xdr:rowOff>
    </xdr:from>
    <xdr:to>
      <xdr:col>20</xdr:col>
      <xdr:colOff>160020</xdr:colOff>
      <xdr:row>25</xdr:row>
      <xdr:rowOff>169545</xdr:rowOff>
    </xdr:to>
    <xdr:graphicFrame macro="">
      <xdr:nvGraphicFramePr>
        <xdr:cNvPr id="2" name="Chart 1">
          <a:extLst>
            <a:ext uri="{FF2B5EF4-FFF2-40B4-BE49-F238E27FC236}">
              <a16:creationId xmlns:a16="http://schemas.microsoft.com/office/drawing/2014/main" id="{7BD29D0F-D7B2-4A06-9B42-903B9AE55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510540</xdr:colOff>
      <xdr:row>1</xdr:row>
      <xdr:rowOff>91440</xdr:rowOff>
    </xdr:from>
    <xdr:ext cx="4648200" cy="518160"/>
    <xdr:sp macro="" textlink="">
      <xdr:nvSpPr>
        <xdr:cNvPr id="3" name="TextBox 2">
          <a:extLst>
            <a:ext uri="{FF2B5EF4-FFF2-40B4-BE49-F238E27FC236}">
              <a16:creationId xmlns:a16="http://schemas.microsoft.com/office/drawing/2014/main" id="{62CE3241-8E39-D46D-1D81-DF4937FD1D06}"/>
            </a:ext>
          </a:extLst>
        </xdr:cNvPr>
        <xdr:cNvSpPr txBox="1"/>
      </xdr:nvSpPr>
      <xdr:spPr>
        <a:xfrm>
          <a:off x="3558540" y="274320"/>
          <a:ext cx="4648200" cy="518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2400" b="1">
              <a:solidFill>
                <a:schemeClr val="bg2"/>
              </a:solidFill>
            </a:rPr>
            <a:t>Daily Emergency Room Patient No.</a:t>
          </a:r>
          <a:endParaRPr lang="en-IN" sz="4800" b="1">
            <a:solidFill>
              <a:schemeClr val="bg2"/>
            </a:solidFill>
          </a:endParaRPr>
        </a:p>
      </xdr:txBody>
    </xdr:sp>
    <xdr:clientData/>
  </xdr:oneCellAnchor>
  <xdr:twoCellAnchor>
    <xdr:from>
      <xdr:col>1</xdr:col>
      <xdr:colOff>43815</xdr:colOff>
      <xdr:row>0</xdr:row>
      <xdr:rowOff>139065</xdr:rowOff>
    </xdr:from>
    <xdr:to>
      <xdr:col>2</xdr:col>
      <xdr:colOff>272415</xdr:colOff>
      <xdr:row>4</xdr:row>
      <xdr:rowOff>177165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AEE3426F-4E37-7C79-9755-F8643D0B52AA}"/>
            </a:ext>
            <a:ext uri="{147F2762-F138-4A5C-976F-8EAC2B608ADB}">
              <a16:predDERef xmlns:a16="http://schemas.microsoft.com/office/drawing/2014/main" pred="{62CE3241-8E39-D46D-1D81-DF4937FD1D06}"/>
            </a:ext>
          </a:extLst>
        </xdr:cNvPr>
        <xdr:cNvSpPr/>
      </xdr:nvSpPr>
      <xdr:spPr>
        <a:xfrm>
          <a:off x="653415" y="139065"/>
          <a:ext cx="838200" cy="76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t>🏡</a:t>
          </a:r>
          <a:r>
            <a:rPr lang="en-IN" sz="1100"/>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160020</xdr:rowOff>
    </xdr:from>
    <xdr:to>
      <xdr:col>20</xdr:col>
      <xdr:colOff>586740</xdr:colOff>
      <xdr:row>27</xdr:row>
      <xdr:rowOff>53340</xdr:rowOff>
    </xdr:to>
    <xdr:graphicFrame macro="">
      <xdr:nvGraphicFramePr>
        <xdr:cNvPr id="3" name="Chart 2">
          <a:extLst>
            <a:ext uri="{FF2B5EF4-FFF2-40B4-BE49-F238E27FC236}">
              <a16:creationId xmlns:a16="http://schemas.microsoft.com/office/drawing/2014/main" id="{0557C1D2-C7CD-41DC-9A93-5F7E9635C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480060</xdr:colOff>
      <xdr:row>1</xdr:row>
      <xdr:rowOff>129540</xdr:rowOff>
    </xdr:from>
    <xdr:ext cx="3825240" cy="468013"/>
    <xdr:sp macro="" textlink="">
      <xdr:nvSpPr>
        <xdr:cNvPr id="2" name="TextBox 1">
          <a:extLst>
            <a:ext uri="{FF2B5EF4-FFF2-40B4-BE49-F238E27FC236}">
              <a16:creationId xmlns:a16="http://schemas.microsoft.com/office/drawing/2014/main" id="{CD11386D-35F2-B6F6-C752-4E5EF35DB112}"/>
            </a:ext>
          </a:extLst>
        </xdr:cNvPr>
        <xdr:cNvSpPr txBox="1"/>
      </xdr:nvSpPr>
      <xdr:spPr>
        <a:xfrm>
          <a:off x="4137660" y="312420"/>
          <a:ext cx="382524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400">
              <a:solidFill>
                <a:schemeClr val="bg1">
                  <a:lumMod val="95000"/>
                </a:schemeClr>
              </a:solidFill>
            </a:rPr>
            <a:t>Daily Wait</a:t>
          </a:r>
          <a:r>
            <a:rPr lang="en-IN" sz="2400" baseline="0">
              <a:solidFill>
                <a:schemeClr val="bg1">
                  <a:lumMod val="95000"/>
                </a:schemeClr>
              </a:solidFill>
            </a:rPr>
            <a:t>-Time Trend</a:t>
          </a:r>
        </a:p>
      </xdr:txBody>
    </xdr:sp>
    <xdr:clientData/>
  </xdr:oneCellAnchor>
  <xdr:twoCellAnchor>
    <xdr:from>
      <xdr:col>0</xdr:col>
      <xdr:colOff>466725</xdr:colOff>
      <xdr:row>1</xdr:row>
      <xdr:rowOff>0</xdr:rowOff>
    </xdr:from>
    <xdr:to>
      <xdr:col>2</xdr:col>
      <xdr:colOff>85725</xdr:colOff>
      <xdr:row>5</xdr:row>
      <xdr:rowOff>38100</xdr:rowOff>
    </xdr:to>
    <xdr:sp macro="" textlink="">
      <xdr:nvSpPr>
        <xdr:cNvPr id="4" name="Rounded Rectangle 3">
          <a:hlinkClick xmlns:r="http://schemas.openxmlformats.org/officeDocument/2006/relationships" r:id="rId2"/>
          <a:extLst>
            <a:ext uri="{FF2B5EF4-FFF2-40B4-BE49-F238E27FC236}">
              <a16:creationId xmlns:a16="http://schemas.microsoft.com/office/drawing/2014/main" id="{E2DDB1E1-DAD5-4BD8-AA4C-F58FA4CE8D86}"/>
            </a:ext>
            <a:ext uri="{147F2762-F138-4A5C-976F-8EAC2B608ADB}">
              <a16:predDERef xmlns:a16="http://schemas.microsoft.com/office/drawing/2014/main" pred="{CD11386D-35F2-B6F6-C752-4E5EF35DB112}"/>
            </a:ext>
          </a:extLst>
        </xdr:cNvPr>
        <xdr:cNvSpPr/>
      </xdr:nvSpPr>
      <xdr:spPr>
        <a:xfrm>
          <a:off x="466725" y="180975"/>
          <a:ext cx="838200" cy="76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lang="en-IN" sz="3600"/>
            <a:t>🏡</a:t>
          </a:r>
          <a:r>
            <a:rPr lang="en-IN" sz="1100"/>
            <a:t> </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0.03757</cdr:x>
      <cdr:y>0.00946</cdr:y>
    </cdr:from>
    <cdr:to>
      <cdr:x>0.11032</cdr:x>
      <cdr:y>0.14669</cdr:y>
    </cdr:to>
    <cdr:sp macro="" textlink="">
      <cdr:nvSpPr>
        <cdr:cNvPr id="2" name="Rectangle: Rounded Corners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93A8C88-E4B7-1A10-D0D0-245A067EE90D}"/>
            </a:ext>
          </a:extLst>
        </cdr:cNvPr>
        <cdr:cNvSpPr/>
      </cdr:nvSpPr>
      <cdr:spPr>
        <a:xfrm xmlns:a="http://schemas.openxmlformats.org/drawingml/2006/main">
          <a:off x="480060" y="45720"/>
          <a:ext cx="929640" cy="662940"/>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3600" kern="1200"/>
            <a:t>🏡</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152400</xdr:colOff>
      <xdr:row>0</xdr:row>
      <xdr:rowOff>76200</xdr:rowOff>
    </xdr:from>
    <xdr:to>
      <xdr:col>20</xdr:col>
      <xdr:colOff>30480</xdr:colOff>
      <xdr:row>26</xdr:row>
      <xdr:rowOff>152400</xdr:rowOff>
    </xdr:to>
    <xdr:graphicFrame macro="">
      <xdr:nvGraphicFramePr>
        <xdr:cNvPr id="4" name="Chart 3">
          <a:extLst>
            <a:ext uri="{FF2B5EF4-FFF2-40B4-BE49-F238E27FC236}">
              <a16:creationId xmlns:a16="http://schemas.microsoft.com/office/drawing/2014/main" id="{ACAB862E-1FDF-42CD-9F6B-1A356702D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247650</xdr:colOff>
      <xdr:row>1</xdr:row>
      <xdr:rowOff>95250</xdr:rowOff>
    </xdr:from>
    <xdr:to>
      <xdr:col>2</xdr:col>
      <xdr:colOff>476250</xdr:colOff>
      <xdr:row>5</xdr:row>
      <xdr:rowOff>133350</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51175526-5D06-4942-9B40-A0814B9AEB99}"/>
            </a:ext>
            <a:ext uri="{147F2762-F138-4A5C-976F-8EAC2B608ADB}">
              <a16:predDERef xmlns:a16="http://schemas.microsoft.com/office/drawing/2014/main" pred="{EA83CFA1-0ABC-F6D7-632A-384CFFAE103C}"/>
            </a:ext>
          </a:extLst>
        </xdr:cNvPr>
        <xdr:cNvSpPr/>
      </xdr:nvSpPr>
      <xdr:spPr>
        <a:xfrm>
          <a:off x="857250" y="276225"/>
          <a:ext cx="838200" cy="76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lang="en-IN" sz="3600"/>
            <a:t>🏡</a:t>
          </a:r>
          <a:r>
            <a:rPr lang="en-IN" sz="1100"/>
            <a:t> </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a" refreshedDate="46173.116483101854" createdVersion="5" refreshedVersion="8" minRefreshableVersion="3" recordCount="0" supportSubquery="1" supportAdvancedDrill="1" xr:uid="{A46BA92F-B665-402D-9511-FB4833207E78}">
  <cacheSource type="external" connectionId="4"/>
  <cacheFields count="4">
    <cacheField name="[Measures].[Count of Patient Id]" caption="Count of Patient Id" numFmtId="0" hierarchy="27" level="32767"/>
    <cacheField name="[Date 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Date Table].[Date (Month)].[Date (Month)]" caption="Date (Month)" numFmtId="0" hierarchy="1" level="1">
      <sharedItems count="1">
        <s v="Aug"/>
      </sharedItems>
    </cacheField>
    <cacheField name="[Date Table].[Date (Year)].[Date (Year)]" caption="Date (Year)" numFmtId="0" hierarchy="3" level="1">
      <sharedItems containsSemiMixedTypes="0" containsNonDate="0" containsString="0"/>
    </cacheField>
  </cacheFields>
  <cacheHierarchies count="37">
    <cacheHierarchy uniqueName="[Date Table].[Date]" caption="Date" attribute="1" time="1" defaultMemberUniqueName="[Date Table].[Date].[All]" allUniqueName="[Date Table].[Date].[All]" dimensionUniqueName="[Date Table]" displayFolder="" count="0" memberValueDatatype="7" unbalanced="0"/>
    <cacheHierarchy uniqueName="[Date Table].[Date (Month)]" caption="Date (Month)" attribute="1" defaultMemberUniqueName="[Date Table].[Date (Month)].[All]" allUniqueName="[Date Table].[Date (Month)].[All]" dimensionUniqueName="[Date Table]" displayFolder="" count="2" memberValueDatatype="130" unbalanced="0">
      <fieldsUsage count="2">
        <fieldUsage x="-1"/>
        <fieldUsage x="2"/>
      </fieldsUsage>
    </cacheHierarchy>
    <cacheHierarchy uniqueName="[Date Table].[Date (Day)]" caption="Date (Day)" attribute="1" defaultMemberUniqueName="[Date Table].[Date (Day)].[All]" allUniqueName="[Date Table].[Date (Day)].[All]" dimensionUniqueName="[Date Table]" displayFolder="" count="2" memberValueDatatype="130" unbalanced="0">
      <fieldsUsage count="2">
        <fieldUsage x="-1"/>
        <fieldUsage x="1"/>
      </fieldsUsage>
    </cacheHierarchy>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3"/>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Response]" caption="Response" attribute="1" defaultMemberUniqueName="[Hospital Emergency Room Data].[Response].[All]" allUniqueName="[Hospital Emergency Room Data].[Respons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Date Table].[Date (Day Index)]" caption="Date (Day Index)" attribute="1" defaultMemberUniqueName="[Date Table].[Date (Day Index)].[All]" allUniqueName="[Date Table].[Date (Day Index)].[All]" dimensionUniqueName="[Date Table]" displayFolder="" count="0" memberValueDatatype="5" unbalanced="0" hidden="1"/>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Response]" caption="Count of Respons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Date Table" uniqueName="[Date Table]" caption="Date Table"/>
    <dimension name="Hospital Emergency Room Data" uniqueName="[Hospital Emergency Room Data]" caption="Hospital Emergency Room Data"/>
    <dimension measure="1" name="Measures" uniqueName="[Measures]" caption="Measures"/>
  </dimensions>
  <measureGroups count="2">
    <measureGroup name="Date Table" caption="Dat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a" refreshedDate="46173.116483217593" createdVersion="5" refreshedVersion="8" minRefreshableVersion="3" recordCount="0" supportSubquery="1" supportAdvancedDrill="1" xr:uid="{0BDA03C9-4689-44E8-A942-6C944EB0BB63}">
  <cacheSource type="external" connectionId="4"/>
  <cacheFields count="3">
    <cacheField name="[Measures].[Count of Patient Id]" caption="Count of Patient Id" numFmtId="0" hierarchy="27" level="32767"/>
    <cacheField name="[Date Table].[Date (Month)].[Date (Month)]" caption="Date (Month)" numFmtId="0" hierarchy="1" level="1">
      <sharedItems containsSemiMixedTypes="0" containsNonDate="0" containsString="0"/>
    </cacheField>
    <cacheField name="[Date Table].[Date (Year)].[Date (Year)]" caption="Date (Year)" numFmtId="0" hierarchy="3" level="1">
      <sharedItems containsSemiMixedTypes="0" containsNonDate="0" containsString="0"/>
    </cacheField>
  </cacheFields>
  <cacheHierarchies count="37">
    <cacheHierarchy uniqueName="[Date Table].[Date]" caption="Date" attribute="1" time="1" defaultMemberUniqueName="[Date Table].[Date].[All]" allUniqueName="[Date Table].[Date].[All]" dimensionUniqueName="[Date Table]" displayFolder="" count="0" memberValueDatatype="7" unbalanced="0"/>
    <cacheHierarchy uniqueName="[Date Table].[Date (Month)]" caption="Date (Month)" attribute="1" defaultMemberUniqueName="[Date Table].[Date (Month)].[All]" allUniqueName="[Date Table].[Date (Month)].[All]" dimensionUniqueName="[Date Table]" displayFolder="" count="2" memberValueDatatype="130" unbalanced="0">
      <fieldsUsage count="2">
        <fieldUsage x="-1"/>
        <fieldUsage x="1"/>
      </fieldsUsage>
    </cacheHierarchy>
    <cacheHierarchy uniqueName="[Date Table].[Date (Day)]" caption="Date (Day)" attribute="1" defaultMemberUniqueName="[Date Table].[Date (Day)].[All]" allUniqueName="[Date Table].[Date (Day)].[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2"/>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Response]" caption="Response" attribute="1" defaultMemberUniqueName="[Hospital Emergency Room Data].[Response].[All]" allUniqueName="[Hospital Emergency Room Data].[Respons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Date Table].[Date (Day Index)]" caption="Date (Day Index)" attribute="1" defaultMemberUniqueName="[Date Table].[Date (Day Index)].[All]" allUniqueName="[Date Table].[Date (Day Index)].[All]" dimensionUniqueName="[Date Table]" displayFolder="" count="0" memberValueDatatype="5" unbalanced="0" hidden="1"/>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Response]" caption="Count of Respons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Date Table" uniqueName="[Date Table]" caption="Date Table"/>
    <dimension name="Hospital Emergency Room Data" uniqueName="[Hospital Emergency Room Data]" caption="Hospital Emergency Room Data"/>
    <dimension measure="1" name="Measures" uniqueName="[Measures]" caption="Measures"/>
  </dimensions>
  <measureGroups count="2">
    <measureGroup name="Date Table" caption="Dat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a" refreshedDate="46173.116483449077" createdVersion="5" refreshedVersion="8" minRefreshableVersion="3" recordCount="0" supportSubquery="1" supportAdvancedDrill="1" xr:uid="{D9A52F15-89EF-41EC-9BDE-205C69111143}">
  <cacheSource type="external" connectionId="4"/>
  <cacheFields count="3">
    <cacheField name="[Measures].[Average of Patient Waittime]" caption="Average of Patient Waittime" numFmtId="0" hierarchy="29" level="32767"/>
    <cacheField name="[Date Table].[Date (Month)].[Date (Month)]" caption="Date (Month)" numFmtId="0" hierarchy="1" level="1">
      <sharedItems containsSemiMixedTypes="0" containsNonDate="0" containsString="0"/>
    </cacheField>
    <cacheField name="[Date Table].[Date (Year)].[Date (Year)]" caption="Date (Year)" numFmtId="0" hierarchy="3" level="1">
      <sharedItems containsSemiMixedTypes="0" containsNonDate="0" containsString="0"/>
    </cacheField>
  </cacheFields>
  <cacheHierarchies count="37">
    <cacheHierarchy uniqueName="[Date Table].[Date]" caption="Date" attribute="1" time="1" defaultMemberUniqueName="[Date Table].[Date].[All]" allUniqueName="[Date Table].[Date].[All]" dimensionUniqueName="[Date Table]" displayFolder="" count="0" memberValueDatatype="7" unbalanced="0"/>
    <cacheHierarchy uniqueName="[Date Table].[Date (Month)]" caption="Date (Month)" attribute="1" defaultMemberUniqueName="[Date Table].[Date (Month)].[All]" allUniqueName="[Date Table].[Date (Month)].[All]" dimensionUniqueName="[Date Table]" displayFolder="" count="2" memberValueDatatype="130" unbalanced="0">
      <fieldsUsage count="2">
        <fieldUsage x="-1"/>
        <fieldUsage x="1"/>
      </fieldsUsage>
    </cacheHierarchy>
    <cacheHierarchy uniqueName="[Date Table].[Date (Day)]" caption="Date (Day)" attribute="1" defaultMemberUniqueName="[Date Table].[Date (Day)].[All]" allUniqueName="[Date Table].[Date (Day)].[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2"/>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Response]" caption="Response" attribute="1" defaultMemberUniqueName="[Hospital Emergency Room Data].[Response].[All]" allUniqueName="[Hospital Emergency Room Data].[Respons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Date Table].[Date (Day Index)]" caption="Date (Day Index)" attribute="1" defaultMemberUniqueName="[Date Table].[Date (Day Index)].[All]" allUniqueName="[Date Table].[Date (Day Index)].[All]" dimensionUniqueName="[Date Table]" displayFolder="" count="0" memberValueDatatype="5" unbalanced="0" hidden="1"/>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Response]" caption="Count of Respons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Date Table" uniqueName="[Date Table]" caption="Date Table"/>
    <dimension name="Hospital Emergency Room Data" uniqueName="[Hospital Emergency Room Data]" caption="Hospital Emergency Room Data"/>
    <dimension measure="1" name="Measures" uniqueName="[Measures]" caption="Measures"/>
  </dimensions>
  <measureGroups count="2">
    <measureGroup name="Date Table" caption="Dat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a" refreshedDate="46173.116483564816" createdVersion="5" refreshedVersion="8" minRefreshableVersion="3" recordCount="0" supportSubquery="1" supportAdvancedDrill="1" xr:uid="{C0189AA9-B035-48D1-9116-A68FA4A3891D}">
  <cacheSource type="external" connectionId="4"/>
  <cacheFields count="3">
    <cacheField name="[Measures].[Average of Patient Satisfaction Score]" caption="Average of Patient Satisfaction Score" numFmtId="0" hierarchy="31" level="32767"/>
    <cacheField name="[Date Table].[Date (Month)].[Date (Month)]" caption="Date (Month)" numFmtId="0" hierarchy="1" level="1">
      <sharedItems containsSemiMixedTypes="0" containsNonDate="0" containsString="0"/>
    </cacheField>
    <cacheField name="[Date Table].[Date (Year)].[Date (Year)]" caption="Date (Year)" numFmtId="0" hierarchy="3" level="1">
      <sharedItems containsSemiMixedTypes="0" containsNonDate="0" containsString="0"/>
    </cacheField>
  </cacheFields>
  <cacheHierarchies count="37">
    <cacheHierarchy uniqueName="[Date Table].[Date]" caption="Date" attribute="1" time="1" defaultMemberUniqueName="[Date Table].[Date].[All]" allUniqueName="[Date Table].[Date].[All]" dimensionUniqueName="[Date Table]" displayFolder="" count="0" memberValueDatatype="7" unbalanced="0"/>
    <cacheHierarchy uniqueName="[Date Table].[Date (Month)]" caption="Date (Month)" attribute="1" defaultMemberUniqueName="[Date Table].[Date (Month)].[All]" allUniqueName="[Date Table].[Date (Month)].[All]" dimensionUniqueName="[Date Table]" displayFolder="" count="2" memberValueDatatype="130" unbalanced="0">
      <fieldsUsage count="2">
        <fieldUsage x="-1"/>
        <fieldUsage x="1"/>
      </fieldsUsage>
    </cacheHierarchy>
    <cacheHierarchy uniqueName="[Date Table].[Date (Day)]" caption="Date (Day)" attribute="1" defaultMemberUniqueName="[Date Table].[Date (Day)].[All]" allUniqueName="[Date Table].[Date (Day)].[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2"/>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Response]" caption="Response" attribute="1" defaultMemberUniqueName="[Hospital Emergency Room Data].[Response].[All]" allUniqueName="[Hospital Emergency Room Data].[Respons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Date Table].[Date (Day Index)]" caption="Date (Day Index)" attribute="1" defaultMemberUniqueName="[Date Table].[Date (Day Index)].[All]" allUniqueName="[Date Table].[Date (Day Index)].[All]" dimensionUniqueName="[Date Table]" displayFolder="" count="0" memberValueDatatype="5" unbalanced="0" hidden="1"/>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Response]" caption="Count of Respons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Date Table" uniqueName="[Date Table]" caption="Date Table"/>
    <dimension name="Hospital Emergency Room Data" uniqueName="[Hospital Emergency Room Data]" caption="Hospital Emergency Room Data"/>
    <dimension measure="1" name="Measures" uniqueName="[Measures]" caption="Measures"/>
  </dimensions>
  <measureGroups count="2">
    <measureGroup name="Date Table" caption="Dat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a" refreshedDate="46173.116484143517" createdVersion="5" refreshedVersion="8" minRefreshableVersion="3" recordCount="0" supportSubquery="1" supportAdvancedDrill="1" xr:uid="{E457C06B-2A5B-4258-9C37-6A6F58B5C045}">
  <cacheSource type="external" connectionId="4"/>
  <cacheFields count="4">
    <cacheField name="[Measures].[Average of Patient Waittime]" caption="Average of Patient Waittime" numFmtId="0" hierarchy="29" level="32767"/>
    <cacheField name="[Date Table].[Date (Month)].[Date (Month)]" caption="Date (Month)" numFmtId="0" hierarchy="1" level="1">
      <sharedItems count="1">
        <s v="Aug"/>
      </sharedItems>
    </cacheField>
    <cacheField name="[Date 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Date Table].[Date (Year)].[Date (Year)]" caption="Date (Year)" numFmtId="0" hierarchy="3" level="1">
      <sharedItems containsSemiMixedTypes="0" containsNonDate="0" containsString="0"/>
    </cacheField>
  </cacheFields>
  <cacheHierarchies count="37">
    <cacheHierarchy uniqueName="[Date Table].[Date]" caption="Date" attribute="1" time="1" defaultMemberUniqueName="[Date Table].[Date].[All]" allUniqueName="[Date Table].[Date].[All]" dimensionUniqueName="[Date Table]" displayFolder="" count="0" memberValueDatatype="7" unbalanced="0"/>
    <cacheHierarchy uniqueName="[Date Table].[Date (Month)]" caption="Date (Month)" attribute="1" defaultMemberUniqueName="[Date Table].[Date (Month)].[All]" allUniqueName="[Date Table].[Date (Month)].[All]" dimensionUniqueName="[Date Table]" displayFolder="" count="2" memberValueDatatype="130" unbalanced="0">
      <fieldsUsage count="2">
        <fieldUsage x="-1"/>
        <fieldUsage x="1"/>
      </fieldsUsage>
    </cacheHierarchy>
    <cacheHierarchy uniqueName="[Date Table].[Date (Day)]" caption="Date (Day)" attribute="1" defaultMemberUniqueName="[Date Table].[Date (Day)].[All]" allUniqueName="[Date Table].[Date (Day)].[All]" dimensionUniqueName="[Date Table]" displayFolder="" count="2" memberValueDatatype="130" unbalanced="0">
      <fieldsUsage count="2">
        <fieldUsage x="-1"/>
        <fieldUsage x="2"/>
      </fieldsUsage>
    </cacheHierarchy>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3"/>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Response]" caption="Response" attribute="1" defaultMemberUniqueName="[Hospital Emergency Room Data].[Response].[All]" allUniqueName="[Hospital Emergency Room Data].[Respons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Date Table].[Date (Day Index)]" caption="Date (Day Index)" attribute="1" defaultMemberUniqueName="[Date Table].[Date (Day Index)].[All]" allUniqueName="[Date Table].[Date (Day Index)].[All]" dimensionUniqueName="[Date Table]" displayFolder="" count="0" memberValueDatatype="5" unbalanced="0" hidden="1"/>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Response]" caption="Count of Respons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Date Table" uniqueName="[Date Table]" caption="Date Table"/>
    <dimension name="Hospital Emergency Room Data" uniqueName="[Hospital Emergency Room Data]" caption="Hospital Emergency Room Data"/>
    <dimension measure="1" name="Measures" uniqueName="[Measures]" caption="Measures"/>
  </dimensions>
  <measureGroups count="2">
    <measureGroup name="Date Table" caption="Dat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a" refreshedDate="46173.116484606478" createdVersion="5" refreshedVersion="8" minRefreshableVersion="3" recordCount="0" supportSubquery="1" supportAdvancedDrill="1" xr:uid="{4FD9E466-4F71-4FC0-B958-941FDB7748D7}">
  <cacheSource type="external" connectionId="4"/>
  <cacheFields count="4">
    <cacheField name="[Measures].[Average of Patient Satisfaction Score]" caption="Average of Patient Satisfaction Score" numFmtId="0" hierarchy="31" level="32767"/>
    <cacheField name="[Date Table].[Date (Month)].[Date (Month)]" caption="Date (Month)" numFmtId="0" hierarchy="1" level="1">
      <sharedItems count="1">
        <s v="Aug"/>
      </sharedItems>
    </cacheField>
    <cacheField name="[Date Table].[Date (Day)].[Date (Day)]" caption="Date (Day)" numFmtId="0" hierarchy="2" level="1">
      <sharedItems count="30">
        <s v="1-Aug"/>
        <s v="2-Aug"/>
        <s v="3-Aug"/>
        <s v="4-Aug"/>
        <s v="5-Aug"/>
        <s v="6-Aug"/>
        <s v="8-Aug"/>
        <s v="9-Aug"/>
        <s v="10-Aug"/>
        <s v="11-Aug"/>
        <s v="12-Aug"/>
        <s v="13-Aug"/>
        <s v="14-Aug"/>
        <s v="15-Aug"/>
        <s v="16-Aug"/>
        <s v="17-Aug"/>
        <s v="18-Aug"/>
        <s v="19-Aug"/>
        <s v="20-Aug"/>
        <s v="21-Aug"/>
        <s v="22-Aug"/>
        <s v="23-Aug"/>
        <s v="24-Aug"/>
        <s v="25-Aug"/>
        <s v="26-Aug"/>
        <s v="27-Aug"/>
        <s v="28-Aug"/>
        <s v="29-Aug"/>
        <s v="30-Aug"/>
        <s v="31-Aug"/>
      </sharedItems>
    </cacheField>
    <cacheField name="[Date Table].[Date (Year)].[Date (Year)]" caption="Date (Year)" numFmtId="0" hierarchy="3" level="1">
      <sharedItems containsSemiMixedTypes="0" containsNonDate="0" containsString="0"/>
    </cacheField>
  </cacheFields>
  <cacheHierarchies count="37">
    <cacheHierarchy uniqueName="[Date Table].[Date]" caption="Date" attribute="1" time="1" defaultMemberUniqueName="[Date Table].[Date].[All]" allUniqueName="[Date Table].[Date].[All]" dimensionUniqueName="[Date Table]" displayFolder="" count="0" memberValueDatatype="7" unbalanced="0"/>
    <cacheHierarchy uniqueName="[Date Table].[Date (Month)]" caption="Date (Month)" attribute="1" defaultMemberUniqueName="[Date Table].[Date (Month)].[All]" allUniqueName="[Date Table].[Date (Month)].[All]" dimensionUniqueName="[Date Table]" displayFolder="" count="2" memberValueDatatype="130" unbalanced="0">
      <fieldsUsage count="2">
        <fieldUsage x="-1"/>
        <fieldUsage x="1"/>
      </fieldsUsage>
    </cacheHierarchy>
    <cacheHierarchy uniqueName="[Date Table].[Date (Day)]" caption="Date (Day)" attribute="1" defaultMemberUniqueName="[Date Table].[Date (Day)].[All]" allUniqueName="[Date Table].[Date (Day)].[All]" dimensionUniqueName="[Date Table]" displayFolder="" count="2" memberValueDatatype="130" unbalanced="0">
      <fieldsUsage count="2">
        <fieldUsage x="-1"/>
        <fieldUsage x="2"/>
      </fieldsUsage>
    </cacheHierarchy>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3"/>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Response]" caption="Response" attribute="1" defaultMemberUniqueName="[Hospital Emergency Room Data].[Response].[All]" allUniqueName="[Hospital Emergency Room Data].[Respons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Date Table].[Date (Day Index)]" caption="Date (Day Index)" attribute="1" defaultMemberUniqueName="[Date Table].[Date (Day Index)].[All]" allUniqueName="[Date Table].[Date (Day Index)].[All]" dimensionUniqueName="[Date Table]" displayFolder="" count="0" memberValueDatatype="5" unbalanced="0" hidden="1"/>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Response]" caption="Count of Respons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Date Table" uniqueName="[Date Table]" caption="Date Table"/>
    <dimension name="Hospital Emergency Room Data" uniqueName="[Hospital Emergency Room Data]" caption="Hospital Emergency Room Data"/>
    <dimension measure="1" name="Measures" uniqueName="[Measures]" caption="Measures"/>
  </dimensions>
  <measureGroups count="2">
    <measureGroup name="Date Table" caption="Dat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a" refreshedDate="46173.116485185186" createdVersion="5" refreshedVersion="8" minRefreshableVersion="3" recordCount="0" supportSubquery="1" supportAdvancedDrill="1" xr:uid="{CEC8D3F7-BF04-4A62-8720-0C6948145C6F}">
  <cacheSource type="external" connectionId="4"/>
  <cacheFields count="4">
    <cacheField name="[Date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Date Table].[Date (Year)].[Date (Year)]" caption="Date (Year)" numFmtId="0" hierarchy="3" level="1">
      <sharedItems containsSemiMixedTypes="0" containsNonDate="0" containsString="0"/>
    </cacheField>
  </cacheFields>
  <cacheHierarchies count="37">
    <cacheHierarchy uniqueName="[Date Table].[Date]" caption="Date" attribute="1" time="1" defaultMemberUniqueName="[Date Table].[Date].[All]" allUniqueName="[Date Table].[Date].[All]" dimensionUniqueName="[Date Table]" displayFolder="" count="0" memberValueDatatype="7" unbalanced="0"/>
    <cacheHierarchy uniqueName="[Date Table].[Date (Month)]" caption="Date (Month)" attribute="1" defaultMemberUniqueName="[Date Table].[Date (Month)].[All]" allUniqueName="[Date Table].[Date (Month)].[All]" dimensionUniqueName="[Date Table]" displayFolder="" count="2" memberValueDatatype="130" unbalanced="0">
      <fieldsUsage count="2">
        <fieldUsage x="-1"/>
        <fieldUsage x="0"/>
      </fieldsUsage>
    </cacheHierarchy>
    <cacheHierarchy uniqueName="[Date Table].[Date (Day)]" caption="Date (Day)" attribute="1" defaultMemberUniqueName="[Date Table].[Date (Day)].[All]" allUniqueName="[Date Table].[Date (Day)].[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3"/>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Response]" caption="Response" attribute="1" defaultMemberUniqueName="[Hospital Emergency Room Data].[Response].[All]" allUniqueName="[Hospital Emergency Room Data].[Respons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Date Table].[Date (Day Index)]" caption="Date (Day Index)" attribute="1" defaultMemberUniqueName="[Date Table].[Date (Day Index)].[All]" allUniqueName="[Date Table].[Date (Day Index)].[All]" dimensionUniqueName="[Date Table]" displayFolder="" count="0" memberValueDatatype="5" unbalanced="0" hidden="1"/>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Response]" caption="Count of Respons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Date Table" uniqueName="[Date Table]" caption="Date Table"/>
    <dimension name="Hospital Emergency Room Data" uniqueName="[Hospital Emergency Room Data]" caption="Hospital Emergency Room Data"/>
    <dimension measure="1" name="Measures" uniqueName="[Measures]" caption="Measures"/>
  </dimensions>
  <measureGroups count="2">
    <measureGroup name="Date Table" caption="Dat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a" refreshedDate="46173.116485648148" createdVersion="5" refreshedVersion="8" minRefreshableVersion="3" recordCount="0" supportSubquery="1" supportAdvancedDrill="1" xr:uid="{7799081B-EEEF-4A8D-A6C1-3AA79C60197B}">
  <cacheSource type="external" connectionId="4"/>
  <cacheFields count="4">
    <cacheField name="[Date Table].[Date (Month)].[Date (Month)]" caption="Date (Month)" numFmtId="0" hierarchy="1" level="1">
      <sharedItems containsSemiMixedTypes="0" containsNonDate="0" containsString="0"/>
    </cacheField>
    <cacheField name="[Hospital Emergency Room Data].[Response].[Response]" caption="Response" numFmtId="0" hierarchy="17" level="1">
      <sharedItems count="2">
        <s v="Delay"/>
        <s v="On Time"/>
      </sharedItems>
    </cacheField>
    <cacheField name="[Measures].[Count of Response]" caption="Count of Response" numFmtId="0" hierarchy="33" level="32767"/>
    <cacheField name="[Date Table].[Date (Year)].[Date (Year)]" caption="Date (Year)" numFmtId="0" hierarchy="3" level="1">
      <sharedItems containsSemiMixedTypes="0" containsNonDate="0" containsString="0"/>
    </cacheField>
  </cacheFields>
  <cacheHierarchies count="37">
    <cacheHierarchy uniqueName="[Date Table].[Date]" caption="Date" attribute="1" time="1" defaultMemberUniqueName="[Date Table].[Date].[All]" allUniqueName="[Date Table].[Date].[All]" dimensionUniqueName="[Date Table]" displayFolder="" count="0" memberValueDatatype="7" unbalanced="0"/>
    <cacheHierarchy uniqueName="[Date Table].[Date (Month)]" caption="Date (Month)" attribute="1" defaultMemberUniqueName="[Date Table].[Date (Month)].[All]" allUniqueName="[Date Table].[Date (Month)].[All]" dimensionUniqueName="[Date Table]" displayFolder="" count="2" memberValueDatatype="130" unbalanced="0">
      <fieldsUsage count="2">
        <fieldUsage x="-1"/>
        <fieldUsage x="0"/>
      </fieldsUsage>
    </cacheHierarchy>
    <cacheHierarchy uniqueName="[Date Table].[Date (Day)]" caption="Date (Day)" attribute="1" defaultMemberUniqueName="[Date Table].[Date (Day)].[All]" allUniqueName="[Date Table].[Date (Day)].[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3"/>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Response]" caption="Response" attribute="1" defaultMemberUniqueName="[Hospital Emergency Room Data].[Response].[All]" allUniqueName="[Hospital Emergency Room Data].[Response].[All]" dimensionUniqueName="[Hospital Emergency Room Data]" displayFolder="" count="2" memberValueDatatype="130" unbalanced="0">
      <fieldsUsage count="2">
        <fieldUsage x="-1"/>
        <fieldUsage x="1"/>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Date Table].[Date (Day Index)]" caption="Date (Day Index)" attribute="1" defaultMemberUniqueName="[Date Table].[Date (Day Index)].[All]" allUniqueName="[Date Table].[Date (Day Index)].[All]" dimensionUniqueName="[Date Table]" displayFolder="" count="0" memberValueDatatype="5" unbalanced="0" hidden="1"/>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Response]" caption="Count of Response"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Date Table" uniqueName="[Date Table]" caption="Date Table"/>
    <dimension name="Hospital Emergency Room Data" uniqueName="[Hospital Emergency Room Data]" caption="Hospital Emergency Room Data"/>
    <dimension measure="1" name="Measures" uniqueName="[Measures]" caption="Measures"/>
  </dimensions>
  <measureGroups count="2">
    <measureGroup name="Date Table" caption="Dat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a" refreshedDate="46173.116485995371" createdVersion="5" refreshedVersion="8" minRefreshableVersion="3" recordCount="0" supportSubquery="1" supportAdvancedDrill="1" xr:uid="{5DAE0531-C0E2-4998-9E34-676B304F3084}">
  <cacheSource type="external" connectionId="4"/>
  <cacheFields count="4">
    <cacheField name="[Date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Date Table].[Date (Year)].[Date (Year)]" caption="Date (Year)" numFmtId="0" hierarchy="3" level="1">
      <sharedItems containsSemiMixedTypes="0" containsNonDate="0" containsString="0"/>
    </cacheField>
  </cacheFields>
  <cacheHierarchies count="37">
    <cacheHierarchy uniqueName="[Date Table].[Date]" caption="Date" attribute="1" time="1" defaultMemberUniqueName="[Date Table].[Date].[All]" allUniqueName="[Date Table].[Date].[All]" dimensionUniqueName="[Date Table]" displayFolder="" count="0" memberValueDatatype="7" unbalanced="0"/>
    <cacheHierarchy uniqueName="[Date Table].[Date (Month)]" caption="Date (Month)" attribute="1" defaultMemberUniqueName="[Date Table].[Date (Month)].[All]" allUniqueName="[Date Table].[Date (Month)].[All]" dimensionUniqueName="[Date Table]" displayFolder="" count="2" memberValueDatatype="130" unbalanced="0">
      <fieldsUsage count="2">
        <fieldUsage x="-1"/>
        <fieldUsage x="0"/>
      </fieldsUsage>
    </cacheHierarchy>
    <cacheHierarchy uniqueName="[Date Table].[Date (Day)]" caption="Date (Day)" attribute="1" defaultMemberUniqueName="[Date Table].[Date (Day)].[All]" allUniqueName="[Date Table].[Date (Day)].[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3"/>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Response]" caption="Response" attribute="1" defaultMemberUniqueName="[Hospital Emergency Room Data].[Response].[All]" allUniqueName="[Hospital Emergency Room Data].[Respons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Date Table].[Date (Day Index)]" caption="Date (Day Index)" attribute="1" defaultMemberUniqueName="[Date Table].[Date (Day Index)].[All]" allUniqueName="[Date Table].[Date (Day Index)].[All]" dimensionUniqueName="[Date Table]" displayFolder="" count="0" memberValueDatatype="5" unbalanced="0" hidden="1"/>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Response]" caption="Count of Respons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Date Table" uniqueName="[Date Table]" caption="Date Table"/>
    <dimension name="Hospital Emergency Room Data" uniqueName="[Hospital Emergency Room Data]" caption="Hospital Emergency Room Data"/>
    <dimension measure="1" name="Measures" uniqueName="[Measures]" caption="Measures"/>
  </dimensions>
  <measureGroups count="2">
    <measureGroup name="Date Table" caption="Dat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a" refreshedDate="46173.116486458333" createdVersion="5" refreshedVersion="8" minRefreshableVersion="3" recordCount="0" supportSubquery="1" supportAdvancedDrill="1" xr:uid="{547BBCEF-1050-40F0-906E-06CA23FE558F}">
  <cacheSource type="external" connectionId="4"/>
  <cacheFields count="4">
    <cacheField name="[Date Table].[Date (Month)].[Date (Month)]" caption="Date (Month)" numFmtId="0" hierarchy="1" level="1">
      <sharedItems containsSemiMixedTypes="0" containsNonDate="0" containsString="0"/>
    </cacheField>
    <cacheField name="[Hospital Emergency Room Data].[Age Group].[Age Group]" caption="Age Group" numFmtId="0" hierarchy="16" level="1">
      <sharedItems count="5">
        <s v="Adult"/>
        <s v="Child"/>
        <s v="Senior Citizen"/>
        <s v="Teen"/>
        <s v="Young Adult"/>
      </sharedItems>
    </cacheField>
    <cacheField name="[Measures].[Count of Age Group]" caption="Count of Age Group" numFmtId="0" hierarchy="35" level="32767"/>
    <cacheField name="[Date Table].[Date (Year)].[Date (Year)]" caption="Date (Year)" numFmtId="0" hierarchy="3" level="1">
      <sharedItems containsSemiMixedTypes="0" containsNonDate="0" containsString="0"/>
    </cacheField>
  </cacheFields>
  <cacheHierarchies count="37">
    <cacheHierarchy uniqueName="[Date Table].[Date]" caption="Date" attribute="1" time="1" defaultMemberUniqueName="[Date Table].[Date].[All]" allUniqueName="[Date Table].[Date].[All]" dimensionUniqueName="[Date Table]" displayFolder="" count="0" memberValueDatatype="7" unbalanced="0"/>
    <cacheHierarchy uniqueName="[Date Table].[Date (Month)]" caption="Date (Month)" attribute="1" defaultMemberUniqueName="[Date Table].[Date (Month)].[All]" allUniqueName="[Date Table].[Date (Month)].[All]" dimensionUniqueName="[Date Table]" displayFolder="" count="2" memberValueDatatype="130" unbalanced="0">
      <fieldsUsage count="2">
        <fieldUsage x="-1"/>
        <fieldUsage x="0"/>
      </fieldsUsage>
    </cacheHierarchy>
    <cacheHierarchy uniqueName="[Date Table].[Date (Day)]" caption="Date (Day)" attribute="1" defaultMemberUniqueName="[Date Table].[Date (Day)].[All]" allUniqueName="[Date Table].[Date (Day)].[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3"/>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Response]" caption="Response" attribute="1" defaultMemberUniqueName="[Hospital Emergency Room Data].[Response].[All]" allUniqueName="[Hospital Emergency Room Data].[Respons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Date Table].[Date (Day Index)]" caption="Date (Day Index)" attribute="1" defaultMemberUniqueName="[Date Table].[Date (Day Index)].[All]" allUniqueName="[Date Table].[Date (Day Index)].[All]" dimensionUniqueName="[Date Table]" displayFolder="" count="0" memberValueDatatype="5" unbalanced="0" hidden="1"/>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Response]" caption="Count of Respons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Date Table" uniqueName="[Date Table]" caption="Date Table"/>
    <dimension name="Hospital Emergency Room Data" uniqueName="[Hospital Emergency Room Data]" caption="Hospital Emergency Room Data"/>
    <dimension measure="1" name="Measures" uniqueName="[Measures]" caption="Measures"/>
  </dimensions>
  <measureGroups count="2">
    <measureGroup name="Date Table" caption="Dat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a" refreshedDate="46173.116486805557" createdVersion="5" refreshedVersion="8" minRefreshableVersion="3" recordCount="0" supportSubquery="1" supportAdvancedDrill="1" xr:uid="{B71DE1B0-43B7-419B-B8CA-9F84B288C5F7}">
  <cacheSource type="external" connectionId="4"/>
  <cacheFields count="4">
    <cacheField name="[Date 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6" level="32767"/>
    <cacheField name="[Date Table].[Date (Year)].[Date (Year)]" caption="Date (Year)" numFmtId="0" hierarchy="3" level="1">
      <sharedItems containsSemiMixedTypes="0" containsNonDate="0" containsString="0"/>
    </cacheField>
  </cacheFields>
  <cacheHierarchies count="37">
    <cacheHierarchy uniqueName="[Date Table].[Date]" caption="Date" attribute="1" time="1" defaultMemberUniqueName="[Date Table].[Date].[All]" allUniqueName="[Date Table].[Date].[All]" dimensionUniqueName="[Date Table]" displayFolder="" count="0" memberValueDatatype="7" unbalanced="0"/>
    <cacheHierarchy uniqueName="[Date Table].[Date (Month)]" caption="Date (Month)" attribute="1" defaultMemberUniqueName="[Date Table].[Date (Month)].[All]" allUniqueName="[Date Table].[Date (Month)].[All]" dimensionUniqueName="[Date Table]" displayFolder="" count="2" memberValueDatatype="130" unbalanced="0">
      <fieldsUsage count="2">
        <fieldUsage x="-1"/>
        <fieldUsage x="0"/>
      </fieldsUsage>
    </cacheHierarchy>
    <cacheHierarchy uniqueName="[Date Table].[Date (Day)]" caption="Date (Day)" attribute="1" defaultMemberUniqueName="[Date Table].[Date (Day)].[All]" allUniqueName="[Date Table].[Date (Day)].[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3"/>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Response]" caption="Response" attribute="1" defaultMemberUniqueName="[Hospital Emergency Room Data].[Response].[All]" allUniqueName="[Hospital Emergency Room Data].[Respons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Date Table].[Date (Day Index)]" caption="Date (Day Index)" attribute="1" defaultMemberUniqueName="[Date Table].[Date (Day Index)].[All]" allUniqueName="[Date Table].[Date (Day Index)].[All]" dimensionUniqueName="[Date Table]" displayFolder="" count="0" memberValueDatatype="5" unbalanced="0" hidden="1"/>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Response]" caption="Count of Respons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Date Table" uniqueName="[Date Table]" caption="Date Table"/>
    <dimension name="Hospital Emergency Room Data" uniqueName="[Hospital Emergency Room Data]" caption="Hospital Emergency Room Data"/>
    <dimension measure="1" name="Measures" uniqueName="[Measures]" caption="Measures"/>
  </dimensions>
  <measureGroups count="2">
    <measureGroup name="Date Table" caption="Dat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a" refreshedDate="46173.11648715278" createdVersion="5" refreshedVersion="8" minRefreshableVersion="3" recordCount="0" supportSubquery="1" supportAdvancedDrill="1" xr:uid="{2B592F48-B87C-446B-B767-A75ECCA3666E}">
  <cacheSource type="external" connectionId="4"/>
  <cacheFields count="4">
    <cacheField name="[Date Table].[Date (Month)].[Date (Month)]" caption="Date (Month)" numFmtId="0" hierarchy="1" level="1">
      <sharedItems count="1">
        <s v="Feb"/>
      </sharedItems>
    </cacheField>
    <cacheField name="[Date 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Date Table].[Date (Quarter)].[Date (Quarter)]" caption="Date (Quarter)" numFmtId="0" hierarchy="4" level="1">
      <sharedItems count="1">
        <s v="Qtr1"/>
      </sharedItems>
    </cacheField>
    <cacheField name="[Date Table].[Date (Year)].[Date (Year)]" caption="Date (Year)" numFmtId="0" hierarchy="3" level="1">
      <sharedItems count="1">
        <s v="2024"/>
      </sharedItems>
    </cacheField>
  </cacheFields>
  <cacheHierarchies count="37">
    <cacheHierarchy uniqueName="[Date Table].[Date]" caption="Date" attribute="1" time="1" defaultMemberUniqueName="[Date Table].[Date].[All]" allUniqueName="[Date Table].[Date].[All]" dimensionUniqueName="[Date Table]" displayFolder="" count="2" memberValueDatatype="7" unbalanced="0">
      <fieldsUsage count="2">
        <fieldUsage x="-1"/>
        <fieldUsage x="1"/>
      </fieldsUsage>
    </cacheHierarchy>
    <cacheHierarchy uniqueName="[Date Table].[Date (Month)]" caption="Date (Month)" attribute="1" defaultMemberUniqueName="[Date Table].[Date (Month)].[All]" allUniqueName="[Date Table].[Date (Month)].[All]" dimensionUniqueName="[Date Table]" displayFolder="" count="2" memberValueDatatype="130" unbalanced="0">
      <fieldsUsage count="2">
        <fieldUsage x="-1"/>
        <fieldUsage x="0"/>
      </fieldsUsage>
    </cacheHierarchy>
    <cacheHierarchy uniqueName="[Date Table].[Date (Day)]" caption="Date (Day)" attribute="1" defaultMemberUniqueName="[Date Table].[Date (Day)].[All]" allUniqueName="[Date Table].[Date (Day)].[All]" dimensionUniqueName="[Date Table]" displayFolder="" count="2"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3"/>
      </fieldsUsage>
    </cacheHierarchy>
    <cacheHierarchy uniqueName="[Date Table].[Date (Quarter)]" caption="Date (Quarter)" attribute="1" defaultMemberUniqueName="[Date Table].[Date (Quarter)].[All]" allUniqueName="[Date Table].[Date (Quarter)].[All]" dimensionUniqueName="[Date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Response]" caption="Response" attribute="1" defaultMemberUniqueName="[Hospital Emergency Room Data].[Response].[All]" allUniqueName="[Hospital Emergency Room Data].[Response].[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Date Table].[Date (Day Index)]" caption="Date (Day Index)" attribute="1" defaultMemberUniqueName="[Date Table].[Date (Day Index)].[All]" allUniqueName="[Date Table].[Date (Day Index)].[All]" dimensionUniqueName="[Date Table]" displayFolder="" count="2" memberValueDatatype="5" unbalanced="0" hidden="1"/>
    <cacheHierarchy uniqueName="[Date Table].[Date (Month Index)]" caption="Date (Month Index)" attribute="1" defaultMemberUniqueName="[Date Table].[Date (Month Index)].[All]" allUniqueName="[Date Table].[Date (Month Index)].[All]" dimensionUniqueName="[Date 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Response]" caption="Count of Respons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Date Table" uniqueName="[Date Table]" caption="Date Table"/>
    <dimension name="Hospital Emergency Room Data" uniqueName="[Hospital Emergency Room Data]" caption="Hospital Emergency Room Data"/>
    <dimension measure="1" name="Measures" uniqueName="[Measures]" caption="Measures"/>
  </dimensions>
  <measureGroups count="2">
    <measureGroup name="Date Table" caption="Dat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a" refreshedDate="46173.116487615742" createdVersion="5" refreshedVersion="8" minRefreshableVersion="3" recordCount="0" supportSubquery="1" supportAdvancedDrill="1" xr:uid="{A654D574-C0A5-44E8-AAE9-7C3D3F80DDDF}">
  <cacheSource type="external" connectionId="4"/>
  <cacheFields count="4">
    <cacheField name="[Date 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6" level="32767"/>
    <cacheField name="[Date Table].[Date (Year)].[Date (Year)]" caption="Date (Year)" numFmtId="0" hierarchy="3" level="1">
      <sharedItems containsSemiMixedTypes="0" containsNonDate="0" containsString="0"/>
    </cacheField>
  </cacheFields>
  <cacheHierarchies count="37">
    <cacheHierarchy uniqueName="[Date Table].[Date]" caption="Date" attribute="1" time="1" defaultMemberUniqueName="[Date Table].[Date].[All]" allUniqueName="[Date Table].[Date].[All]" dimensionUniqueName="[Date Table]" displayFolder="" count="0" memberValueDatatype="7" unbalanced="0"/>
    <cacheHierarchy uniqueName="[Date Table].[Date (Month)]" caption="Date (Month)" attribute="1" defaultMemberUniqueName="[Date Table].[Date (Month)].[All]" allUniqueName="[Date Table].[Date (Month)].[All]" dimensionUniqueName="[Date Table]" displayFolder="" count="2" memberValueDatatype="130" unbalanced="0">
      <fieldsUsage count="2">
        <fieldUsage x="-1"/>
        <fieldUsage x="0"/>
      </fieldsUsage>
    </cacheHierarchy>
    <cacheHierarchy uniqueName="[Date Table].[Date (Day)]" caption="Date (Day)" attribute="1" defaultMemberUniqueName="[Date Table].[Date (Day)].[All]" allUniqueName="[Date Table].[Date (Day)].[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3"/>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Response]" caption="Response" attribute="1" defaultMemberUniqueName="[Hospital Emergency Room Data].[Response].[All]" allUniqueName="[Hospital Emergency Room Data].[Respons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Date Table].[Date (Day Index)]" caption="Date (Day Index)" attribute="1" defaultMemberUniqueName="[Date Table].[Date (Day Index)].[All]" allUniqueName="[Date Table].[Date (Day Index)].[All]" dimensionUniqueName="[Date Table]" displayFolder="" count="0" memberValueDatatype="5" unbalanced="0" hidden="1"/>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Response]" caption="Count of Respons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Date Table" uniqueName="[Date Table]" caption="Date Table"/>
    <dimension name="Hospital Emergency Room Data" uniqueName="[Hospital Emergency Room Data]" caption="Hospital Emergency Room Data"/>
    <dimension measure="1" name="Measures" uniqueName="[Measures]" caption="Measures"/>
  </dimensions>
  <measureGroups count="2">
    <measureGroup name="Date Table" caption="Dat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talMonu" refreshedDate="46154.457795138886" createdVersion="3" refreshedVersion="8" minRefreshableVersion="3" recordCount="0" supportSubquery="1" supportAdvancedDrill="1" xr:uid="{5E3892BE-4BCF-4127-9455-3AD51F30C893}">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Date Table].[Date]" caption="Date" attribute="1" time="1" defaultMemberUniqueName="[Date Table].[Date].[All]" allUniqueName="[Date Table].[Date].[All]" dimensionUniqueName="[Date Table]" displayFolder="" count="0" memberValueDatatype="7" unbalanced="0"/>
    <cacheHierarchy uniqueName="[Date Table].[Date (Month)]" caption="Date (Month)" attribute="1" defaultMemberUniqueName="[Date Table].[Date (Month)].[All]" allUniqueName="[Date Table].[Date (Month)].[All]" dimensionUniqueName="[Date Table]" displayFolder="" count="2" memberValueDatatype="130" unbalanced="0"/>
    <cacheHierarchy uniqueName="[Date Table].[Date (Day)]" caption="Date (Day)" attribute="1" defaultMemberUniqueName="[Date Table].[Date (Day)].[All]" allUniqueName="[Date Table].[Date (Day)].[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Response]" caption="Response" attribute="1" defaultMemberUniqueName="[Hospital Emergency Room Data].[Response].[All]" allUniqueName="[Hospital Emergency Room Data].[Respons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Date Table].[Date (Day Index)]" caption="Date (Day Index)" attribute="1" defaultMemberUniqueName="[Date Table].[Date (Day Index)].[All]" allUniqueName="[Date Table].[Date (Day Index)].[All]" dimensionUniqueName="[Date Table]" displayFolder="" count="0" memberValueDatatype="5" unbalanced="0" hidden="1"/>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Response]" caption="Count of Respons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3962125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6A0A8E-C5A4-4A3E-B170-0F1D2E3DD205}" name="PivotTable9" cacheId="776" applyNumberFormats="0" applyBorderFormats="0" applyFontFormats="0" applyPatternFormats="0" applyAlignmentFormats="0" applyWidthHeightFormats="1" dataCaption="Values" tag="9b322379-6054-454a-bc80-a1bc5e515637" updatedVersion="8" minRefreshableVersion="3" subtotalHiddenItems="1" itemPrintTitles="1" createdVersion="5" indent="0" outline="1" outlineData="1" multipleFieldFilters="0" chartFormat="12">
  <location ref="A20:B2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Response" fld="2" subtotal="count" baseField="0" baseItem="0" numFmtId="1"/>
  </dataFields>
  <formats count="1">
    <format dxfId="28">
      <pivotArea outline="0" collapsedLevelsAreSubtotals="1" fieldPosition="0"/>
    </format>
  </formats>
  <chartFormats count="3">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Date Table].[Date (Month)].&amp;[Aug]"/>
      </members>
    </pivotHierarchy>
    <pivotHierarchy dragToData="1"/>
    <pivotHierarchy multipleItemSelectionAllowed="1" dragToData="1">
      <members count="1" level="1">
        <member name="[Date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s"/>
    <pivotHierarchy dragToData="1"/>
    <pivotHierarchy dragToData="1"/>
    <pivotHierarchy dragToData="1"/>
    <pivotHierarchy dragToData="1" caption="Average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DF1B25-CE37-4F25-953F-8B732C31388C}" name="PivotTable6" cacheId="780" applyNumberFormats="0" applyBorderFormats="0" applyFontFormats="0" applyPatternFormats="0" applyAlignmentFormats="0" applyWidthHeightFormats="1" dataCaption="Values" tag="9b322379-6054-454a-bc80-a1bc5e515637" updatedVersion="8" minRefreshableVersion="3" subtotalHiddenItems="1" itemPrintTitles="1" createdVersion="5" indent="0" outline="1" outlineData="1" multipleFieldFilters="0" chartFormat="7">
  <location ref="A40:B4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Age Group" fld="2" subtotal="count" baseField="0" baseItem="0"/>
  </dataFields>
  <formats count="3">
    <format dxfId="25">
      <pivotArea outline="0" collapsedLevelsAreSubtotals="1" fieldPosition="0"/>
    </format>
    <format dxfId="26">
      <pivotArea collapsedLevelsAreSubtotals="1" fieldPosition="0">
        <references count="1">
          <reference field="1" count="0"/>
        </references>
      </pivotArea>
    </format>
    <format dxfId="27">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e Table].[Date (Month)].&amp;[Aug]"/>
      </members>
    </pivotHierarchy>
    <pivotHierarchy dragToData="1"/>
    <pivotHierarchy multipleItemSelectionAllowed="1" dragToData="1">
      <members count="1" level="1">
        <member name="[Date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s"/>
    <pivotHierarchy dragToData="1"/>
    <pivotHierarchy dragToData="1"/>
    <pivotHierarchy dragToData="1"/>
    <pivotHierarchy dragToData="1" caption="Average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866D96-3A0F-423C-928D-55BE6E245DC1}" name="PivotTable8" cacheId="774" applyNumberFormats="0" applyBorderFormats="0" applyFontFormats="0" applyPatternFormats="0" applyAlignmentFormats="0" applyWidthHeightFormats="1" dataCaption="Values" tag="9b322379-6054-454a-bc80-a1bc5e515637" updatedVersion="8" minRefreshableVersion="3" subtotalHiddenItems="1" itemPrintTitles="1" createdVersion="5" indent="0" outline="1" outlineData="1" multipleFieldFilters="0" chartFormat="25">
  <location ref="A15:B1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showDataAs="percentOfCol" baseField="1" baseItem="0" numFmtId="10"/>
  </dataFields>
  <formats count="4">
    <format dxfId="21">
      <pivotArea outline="0" collapsedLevelsAreSubtotals="1" fieldPosition="0"/>
    </format>
    <format dxfId="22">
      <pivotArea outline="0" fieldPosition="0">
        <references count="1">
          <reference field="4294967294" count="1">
            <x v="0"/>
          </reference>
        </references>
      </pivotArea>
    </format>
    <format dxfId="23">
      <pivotArea collapsedLevelsAreSubtotals="1" fieldPosition="0">
        <references count="1">
          <reference field="1" count="0"/>
        </references>
      </pivotArea>
    </format>
    <format dxfId="24">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 count="1" selected="0">
            <x v="0"/>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1" count="1" selected="0">
            <x v="0"/>
          </reference>
        </references>
      </pivotArea>
    </chartFormat>
    <chartFormat chart="22" format="7">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Date Table].[Date (Month)].&amp;[Aug]"/>
      </members>
    </pivotHierarchy>
    <pivotHierarchy dragToData="1"/>
    <pivotHierarchy multipleItemSelectionAllowed="1" dragToData="1">
      <members count="1" level="1">
        <member name="[Date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s"/>
    <pivotHierarchy dragToData="1"/>
    <pivotHierarchy dragToData="1"/>
    <pivotHierarchy dragToData="1"/>
    <pivotHierarchy dragToData="1" caption="Average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63B958-9F3B-4587-8BA7-CDE202147A98}" name="PivotTable1" cacheId="764" applyNumberFormats="0" applyBorderFormats="0" applyFontFormats="0" applyPatternFormats="0" applyAlignmentFormats="0" applyWidthHeightFormats="1" dataCaption="Values" tag="81f416c5-6e32-4eec-8cb8-50efa13256f1"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s" fld="0" subtotal="count" baseField="0" baseItem="0"/>
  </dataFields>
  <pivotHierarchies count="37">
    <pivotHierarchy dragToData="1"/>
    <pivotHierarchy multipleItemSelectionAllowed="1" dragToData="1">
      <members count="1" level="1">
        <member name="[Date Table].[Date (Month)].&amp;[Aug]"/>
      </members>
    </pivotHierarchy>
    <pivotHierarchy dragToData="1"/>
    <pivotHierarchy multipleItemSelectionAllowed="1" dragToData="1">
      <members count="1" level="1">
        <member name="[Date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6AAD44-642E-4DD0-B6CC-C32130006446}" name="PivotTable7" cacheId="772" applyNumberFormats="0" applyBorderFormats="0" applyFontFormats="0" applyPatternFormats="0" applyAlignmentFormats="0" applyWidthHeightFormats="1" dataCaption="Values" tag="9b322379-6054-454a-bc80-a1bc5e515637" updatedVersion="8" minRefreshableVersion="3" subtotalHiddenItems="1" itemPrintTitles="1" createdVersion="5" indent="0" outline="1" outlineData="1" multipleFieldFilters="0" chartFormat="15">
  <location ref="J3:K35" firstHeaderRow="1" firstDataRow="1" firstDataCol="1"/>
  <pivotFields count="4">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2">
    <field x="1"/>
    <field x="2"/>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Average Satisfaction Score" fld="0" subtotal="average" baseField="0" baseItem="0" numFmtId="2"/>
  </dataFields>
  <formats count="1">
    <format dxfId="2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multipleItemSelectionAllowed="1" dragToData="1">
      <members count="1" level="1">
        <member name="[Date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s"/>
    <pivotHierarchy dragToData="1"/>
    <pivotHierarchy dragToData="1"/>
    <pivotHierarchy dragToData="1"/>
    <pivotHierarchy dragToData="1" caption="Average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5C335F-078E-4AD5-91EF-E7B2C1F5A88D}" name="PivotTable11" cacheId="782" applyNumberFormats="0" applyBorderFormats="0" applyFontFormats="0" applyPatternFormats="0" applyAlignmentFormats="0" applyWidthHeightFormats="1" dataCaption="Values" tag="9b322379-6054-454a-bc80-a1bc5e515637" updatedVersion="8" minRefreshableVersion="3" subtotalHiddenItems="1" itemPrintTitles="1" createdVersion="5" indent="0" outline="1" outlineData="1" multipleFieldFilters="0" chartFormat="19">
  <location ref="D40:E4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dmission Flag" fld="2" subtotal="count" baseField="0" baseItem="0" numFmtId="1"/>
  </dataFields>
  <formats count="6">
    <format dxfId="14">
      <pivotArea grandRow="1" outline="0" collapsedLevelsAreSubtotals="1" fieldPosition="0"/>
    </format>
    <format dxfId="15">
      <pivotArea outline="0" collapsedLevelsAreSubtotals="1" fieldPosition="0"/>
    </format>
    <format dxfId="16">
      <pivotArea grandRow="1" outline="0" collapsedLevelsAreSubtotals="1" fieldPosition="0"/>
    </format>
    <format dxfId="17">
      <pivotArea dataOnly="0" labelOnly="1" grandRow="1" outline="0" fieldPosition="0"/>
    </format>
    <format dxfId="18">
      <pivotArea grandRow="1" outline="0" collapsedLevelsAreSubtotals="1" fieldPosition="0"/>
    </format>
    <format dxfId="19">
      <pivotArea dataOnly="0" labelOnly="1" grandRow="1" outline="0" fieldPosition="0"/>
    </format>
  </formats>
  <chartFormats count="1">
    <chartFormat chart="12"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e Table].[Date (Month)].&amp;[Aug]"/>
      </members>
    </pivotHierarchy>
    <pivotHierarchy dragToData="1"/>
    <pivotHierarchy multipleItemSelectionAllowed="1" dragToData="1">
      <members count="1" level="1">
        <member name="[Date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s"/>
    <pivotHierarchy dragToData="1"/>
    <pivotHierarchy dragToData="1"/>
    <pivotHierarchy dragToData="1"/>
    <pivotHierarchy dragToData="1" caption="Average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6B49B6-7F6F-47B2-AD7E-45CE3F8DDE4C}" name="PivotTable3" cacheId="768" applyNumberFormats="0" applyBorderFormats="0" applyFontFormats="0" applyPatternFormats="0" applyAlignmentFormats="0" applyWidthHeightFormats="1" dataCaption="Values" tag="9b322379-6054-454a-bc80-a1bc5e515637"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Satisfaction Score" fld="0" subtotal="average" baseField="0" baseItem="0" numFmtId="2"/>
  </dataFields>
  <formats count="1">
    <format dxfId="13">
      <pivotArea outline="0" collapsedLevelsAreSubtotals="1" fieldPosition="0"/>
    </format>
  </formats>
  <pivotHierarchies count="37">
    <pivotHierarchy dragToData="1"/>
    <pivotHierarchy multipleItemSelectionAllowed="1" dragToData="1">
      <members count="1" level="1">
        <member name="[Date Table].[Date (Month)].&amp;[Aug]"/>
      </members>
    </pivotHierarchy>
    <pivotHierarchy dragToData="1"/>
    <pivotHierarchy multipleItemSelectionAllowed="1" dragToData="1">
      <members count="1" level="1">
        <member name="[Date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s"/>
    <pivotHierarchy dragToData="1"/>
    <pivotHierarchy dragToData="1"/>
    <pivotHierarchy dragToData="1"/>
    <pivotHierarchy dragToData="1" caption="Average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3AB611-7E13-4EA8-98CB-20A7AF71563D}" name="PivotTable10" cacheId="778" applyNumberFormats="0" applyBorderFormats="0" applyFontFormats="0" applyPatternFormats="0" applyAlignmentFormats="0" applyWidthHeightFormats="1" dataCaption="Values" tag="9b322379-6054-454a-bc80-a1bc5e515637" updatedVersion="8" minRefreshableVersion="3" subtotalHiddenItems="1" itemPrintTitles="1" createdVersion="5" indent="0" outline="1" outlineData="1" multipleFieldFilters="0" chartFormat="16">
  <location ref="A26:B3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2">
    <format dxfId="11">
      <pivotArea outline="0" collapsedLevelsAreSubtotals="1" fieldPosition="0"/>
    </format>
    <format dxfId="12">
      <pivotArea collapsedLevelsAreSubtotals="1" fieldPosition="0">
        <references count="1">
          <reference field="1" count="0"/>
        </references>
      </pivotArea>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e Table].[Date (Month)].&amp;[Aug]"/>
      </members>
    </pivotHierarchy>
    <pivotHierarchy dragToData="1"/>
    <pivotHierarchy multipleItemSelectionAllowed="1" dragToData="1">
      <members count="1" level="1">
        <member name="[Date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s"/>
    <pivotHierarchy dragToData="1"/>
    <pivotHierarchy dragToData="1"/>
    <pivotHierarchy dragToData="1"/>
    <pivotHierarchy dragToData="1" caption="Average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967F2A-8C28-4ACC-AB4C-C384FE542D8C}" name="PivotTable5" cacheId="762" applyNumberFormats="0" applyBorderFormats="0" applyFontFormats="0" applyPatternFormats="0" applyAlignmentFormats="0" applyWidthHeightFormats="1" dataCaption="Values" tag="f4f90830-97fc-4868-b17b-fddef3802549" updatedVersion="8" minRefreshableVersion="3" subtotalHiddenItems="1" itemPrintTitles="1" createdVersion="5" indent="0" outline="1" outlineData="1" multipleFieldFilters="0" chartFormat="15">
  <location ref="D3:E36" firstHeaderRow="1" firstDataRow="1" firstDataCol="1"/>
  <pivotFields count="4">
    <pivotField dataField="1" subtotalTop="0" showAll="0" defaultSubtotal="0"/>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2">
    <field x="2"/>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Count of Patients"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multipleItemSelectionAllowed="1" dragToData="1">
      <members count="1" level="1">
        <member name="[Date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482A54-B036-49AF-8E6B-0C4844790DFD}" name="PivotTable4" cacheId="770" applyNumberFormats="0" applyBorderFormats="0" applyFontFormats="0" applyPatternFormats="0" applyAlignmentFormats="0" applyWidthHeightFormats="1" dataCaption="Values" tag="b5f4ae61-4451-4869-8bef-2f4bf1383d4c" updatedVersion="8" minRefreshableVersion="3" useAutoFormatting="1" subtotalHiddenItems="1" itemPrintTitles="1" createdVersion="5" indent="0" outline="1" outlineData="1" multipleFieldFilters="0" chartFormat="12">
  <location ref="G3:H36" firstHeaderRow="1" firstDataRow="1" firstDataCol="1"/>
  <pivotFields count="4">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2">
    <field x="1"/>
    <field x="2"/>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Wait-Time" fld="0" subtotal="average" baseField="0" baseItem="0" numFmtId="2"/>
  </dataFields>
  <formats count="1">
    <format dxfId="10">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multipleItemSelectionAllowed="1" dragToData="1">
      <members count="1" level="1">
        <member name="[Date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s"/>
    <pivotHierarchy dragToData="1"/>
    <pivotHierarchy dragToData="1" caption="Average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8614E6-7936-4FE4-998D-9C33A3E06A37}" name="PivotTable2" cacheId="766" applyNumberFormats="0" applyBorderFormats="0" applyFontFormats="0" applyPatternFormats="0" applyAlignmentFormats="0" applyWidthHeightFormats="1" dataCaption="Values" tag="b5f4ae61-4451-4869-8bef-2f4bf1383d4c" updatedVersion="8" minRefreshableVersion="3" useAutoFormatting="1"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Wait-Time" fld="0" subtotal="average" baseField="0" baseItem="0" numFmtId="2"/>
  </dataFields>
  <formats count="1">
    <format dxfId="9">
      <pivotArea outline="0" collapsedLevelsAreSubtotals="1" fieldPosition="0"/>
    </format>
  </formats>
  <pivotHierarchies count="37">
    <pivotHierarchy dragToData="1"/>
    <pivotHierarchy multipleItemSelectionAllowed="1" dragToData="1">
      <members count="1" level="1">
        <member name="[Date Table].[Date (Month)].&amp;[Aug]"/>
      </members>
    </pivotHierarchy>
    <pivotHierarchy dragToData="1"/>
    <pivotHierarchy multipleItemSelectionAllowed="1" dragToData="1">
      <members count="1" level="1">
        <member name="[Date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s"/>
    <pivotHierarchy dragToData="1"/>
    <pivotHierarchy dragToData="1" caption="Average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E23C8F-4B4E-4E78-8C77-C03BF5C7F786}" name="PivotTable12" cacheId="784" applyNumberFormats="0" applyBorderFormats="0" applyFontFormats="0" applyPatternFormats="0" applyAlignmentFormats="0" applyWidthHeightFormats="1" dataCaption="Values" tag="9b322379-6054-454a-bc80-a1bc5e515637" updatedVersion="8" minRefreshableVersion="3" subtotalHiddenItems="1" itemPrintTitles="1" createdVersion="5" indent="0" outline="1" outlineData="1" multipleFieldFilters="0" chartFormat="7">
  <location ref="A49:A5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7">
      <pivotArea outline="0" collapsedLevelsAreSubtotals="1" fieldPosition="0"/>
    </format>
    <format dxfId="8">
      <pivotArea grandRow="1" outline="0" collapsedLevelsAreSubtotals="1" fieldPosition="0"/>
    </format>
  </formats>
  <pivotHierarchies count="37">
    <pivotHierarchy dragToData="1"/>
    <pivotHierarchy multipleItemSelectionAllowed="1" dragToData="1">
      <members count="1" level="1">
        <member name="[Date 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s"/>
    <pivotHierarchy dragToData="1"/>
    <pivotHierarchy dragToData="1"/>
    <pivotHierarchy dragToData="1"/>
    <pivotHierarchy dragToData="1" caption="Average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54C55A-6A70-4C13-ACE2-8C2F0392F306}" name="PivotTable13" cacheId="786" applyNumberFormats="0" applyBorderFormats="0" applyFontFormats="0" applyPatternFormats="0" applyAlignmentFormats="0" applyWidthHeightFormats="1" dataCaption="Values" tag="9b322379-6054-454a-bc80-a1bc5e515637" updatedVersion="8" minRefreshableVersion="3" subtotalHiddenItems="1" itemPrintTitles="1" createdVersion="5" indent="0" outline="1" outlineData="1" multipleFieldFilters="0" chartFormat="24">
  <location ref="I38:J4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dmission Flag" fld="2" subtotal="count" showDataAs="percentOfTotal" baseField="0" baseItem="0" numFmtId="10"/>
  </dataFields>
  <formats count="7">
    <format dxfId="0">
      <pivotArea grandRow="1" outline="0" collapsedLevelsAreSubtotals="1" fieldPosition="0"/>
    </format>
    <format dxfId="1">
      <pivotArea outline="0" collapsedLevelsAreSubtotals="1" fieldPosition="0"/>
    </format>
    <format dxfId="2">
      <pivotArea grandRow="1" outline="0" collapsedLevelsAreSubtotals="1" fieldPosition="0"/>
    </format>
    <format dxfId="3">
      <pivotArea dataOnly="0" labelOnly="1" grandRow="1" outline="0" fieldPosition="0"/>
    </format>
    <format dxfId="4">
      <pivotArea grandRow="1" outline="0" collapsedLevelsAreSubtotals="1" fieldPosition="0"/>
    </format>
    <format dxfId="5">
      <pivotArea dataOnly="0" labelOnly="1" grandRow="1" outline="0" fieldPosition="0"/>
    </format>
    <format dxfId="6">
      <pivotArea outline="0" fieldPosition="0">
        <references count="1">
          <reference field="4294967294" count="1">
            <x v="0"/>
          </reference>
        </references>
      </pivotArea>
    </format>
  </formats>
  <chartFormats count="5">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e Table].[Date (Month)].&amp;[Aug]"/>
      </members>
    </pivotHierarchy>
    <pivotHierarchy dragToData="1"/>
    <pivotHierarchy multipleItemSelectionAllowed="1" dragToData="1">
      <members count="1" level="1">
        <member name="[Date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s"/>
    <pivotHierarchy dragToData="1"/>
    <pivotHierarchy dragToData="1"/>
    <pivotHierarchy dragToData="1"/>
    <pivotHierarchy dragToData="1" caption="Average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C08A88E-C57F-42AF-97D4-B144255BD66B}" sourceName="[Date Table].[Date (Month)]">
  <pivotTables>
    <pivotTable tabId="1" name="PivotTable5"/>
    <pivotTable tabId="1" name="PivotTable1"/>
    <pivotTable tabId="1" name="PivotTable2"/>
    <pivotTable tabId="1" name="PivotTable3"/>
    <pivotTable tabId="1" name="PivotTable4"/>
    <pivotTable tabId="1" name="PivotTable7"/>
    <pivotTable tabId="1" name="PivotTable8"/>
    <pivotTable tabId="1" name="PivotTable9"/>
    <pivotTable tabId="1" name="PivotTable10"/>
    <pivotTable tabId="1" name="PivotTable6"/>
    <pivotTable tabId="1" name="PivotTable11"/>
    <pivotTable tabId="1" name="PivotTable12"/>
    <pivotTable tabId="1" name="PivotTable13"/>
  </pivotTables>
  <data>
    <olap pivotCacheId="1396212506">
      <levels count="2">
        <level uniqueName="[Date Table].[Date (Month)].[(All)]" sourceCaption="(All)" count="0"/>
        <level uniqueName="[Date Table].[Date (Month)].[Date (Month)]" sourceCaption="Date (Month)" count="12" crossFilter="showItemsWithNoData">
          <ranges>
            <range startItem="0">
              <i n="[Date Table].[Date (Month)].&amp;[Jan]" c="Jan"/>
              <i n="[Date Table].[Date (Month)].&amp;[Feb]" c="Feb"/>
              <i n="[Date Table].[Date (Month)].&amp;[Mar]" c="Mar"/>
              <i n="[Date Table].[Date (Month)].&amp;[Apr]" c="Apr"/>
              <i n="[Date Table].[Date (Month)].&amp;[May]" c="May"/>
              <i n="[Date Table].[Date (Month)].&amp;[Jun]" c="Jun"/>
              <i n="[Date Table].[Date (Month)].&amp;[Jul]" c="Jul"/>
              <i n="[Date Table].[Date (Month)].&amp;[Aug]" c="Aug"/>
              <i n="[Date Table].[Date (Month)].&amp;[Sep]" c="Sep"/>
              <i n="[Date Table].[Date (Month)].&amp;[Oct]" c="Oct"/>
              <i n="[Date Table].[Date (Month)].&amp;[Nov]" c="Nov"/>
              <i n="[Date Table].[Date (Month)].&amp;[Dec]" c="Dec"/>
            </range>
          </ranges>
        </level>
      </levels>
      <selections count="1">
        <selection n="[Date 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5CFFC49-84D6-4A00-AABF-8BC14A9A7AA7}" sourceName="[Date Table].[Date (Year)]">
  <pivotTables>
    <pivotTable tabId="1" name="PivotTable12"/>
    <pivotTable tabId="1" name="PivotTable1"/>
    <pivotTable tabId="1" name="PivotTable10"/>
    <pivotTable tabId="1" name="PivotTable11"/>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396212506">
      <levels count="2">
        <level uniqueName="[Date Table].[Date (Year)].[(All)]" sourceCaption="(All)" count="0"/>
        <level uniqueName="[Date Table].[Date (Year)].[Date (Year)]" sourceCaption="Date (Year)" count="2">
          <ranges>
            <range startItem="0">
              <i n="[Date Table].[Date (Year)].&amp;[2023]" c="2023"/>
              <i n="[Date Table].[Date (Year)].&amp;[2024]" c="2024"/>
            </range>
          </ranges>
        </level>
      </levels>
      <selections count="1">
        <selection n="[Date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811F790A-57B3-46DD-BDC7-BF5B1AB149AC}" cache="Slicer_Date__Month" caption="Date (Month)" showCaption="0" level="1" style="SlicerStyleDark5 2" rowHeight="288000"/>
  <slicer name="Date (Year)" xr10:uid="{540DA0D2-638E-4C05-A073-B3D66D765A92}" cache="Slicer_Date__Year" caption="Date (Year)" columnCount="2" showCaption="0" level="1" style="SlicerStyleDark5 2"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563BE-8D6A-4906-AFFF-43E06B646E8B}">
  <dimension ref="A3:K51"/>
  <sheetViews>
    <sheetView zoomScale="160" zoomScaleNormal="160" workbookViewId="0">
      <selection activeCell="O5" sqref="O5"/>
    </sheetView>
  </sheetViews>
  <sheetFormatPr defaultRowHeight="14.45"/>
  <cols>
    <col min="1" max="1" width="17.42578125" bestFit="1" customWidth="1"/>
    <col min="2" max="2" width="25.42578125" bestFit="1" customWidth="1"/>
    <col min="3" max="3" width="5.140625" customWidth="1"/>
    <col min="4" max="4" width="12.28515625" customWidth="1"/>
    <col min="5" max="5" width="9.140625" customWidth="1"/>
    <col min="6" max="6" width="4.85546875" customWidth="1"/>
    <col min="7" max="7" width="14" bestFit="1" customWidth="1"/>
    <col min="8" max="8" width="17.42578125" bestFit="1" customWidth="1"/>
    <col min="10" max="10" width="10.140625" customWidth="1"/>
    <col min="11" max="11" width="16.5703125" customWidth="1"/>
  </cols>
  <sheetData>
    <row r="3" spans="1:11">
      <c r="A3" t="s">
        <v>0</v>
      </c>
      <c r="D3" s="5" t="s">
        <v>1</v>
      </c>
      <c r="E3" t="s">
        <v>0</v>
      </c>
      <c r="G3" s="5" t="s">
        <v>1</v>
      </c>
      <c r="H3" t="s">
        <v>2</v>
      </c>
      <c r="J3" s="5" t="s">
        <v>1</v>
      </c>
      <c r="K3" t="s">
        <v>3</v>
      </c>
    </row>
    <row r="4" spans="1:11">
      <c r="A4" s="20">
        <v>530</v>
      </c>
      <c r="D4" s="6" t="s">
        <v>4</v>
      </c>
      <c r="E4" s="20"/>
      <c r="G4" s="6" t="s">
        <v>4</v>
      </c>
      <c r="H4" s="1"/>
      <c r="J4" s="6" t="s">
        <v>4</v>
      </c>
      <c r="K4" s="1"/>
    </row>
    <row r="5" spans="1:11">
      <c r="D5" s="7" t="s">
        <v>5</v>
      </c>
      <c r="E5" s="20">
        <v>28</v>
      </c>
      <c r="G5" s="7" t="s">
        <v>5</v>
      </c>
      <c r="H5" s="1">
        <v>35.285714285714285</v>
      </c>
      <c r="J5" s="7" t="s">
        <v>5</v>
      </c>
      <c r="K5" s="1">
        <v>4.5</v>
      </c>
    </row>
    <row r="6" spans="1:11">
      <c r="D6" s="7" t="s">
        <v>6</v>
      </c>
      <c r="E6" s="20">
        <v>19</v>
      </c>
      <c r="G6" s="7" t="s">
        <v>6</v>
      </c>
      <c r="H6" s="1">
        <v>31.842105263157894</v>
      </c>
      <c r="J6" s="7" t="s">
        <v>6</v>
      </c>
      <c r="K6" s="1">
        <v>4.666666666666667</v>
      </c>
    </row>
    <row r="7" spans="1:11">
      <c r="A7" t="s">
        <v>2</v>
      </c>
      <c r="D7" s="7" t="s">
        <v>7</v>
      </c>
      <c r="E7" s="20">
        <v>14</v>
      </c>
      <c r="G7" s="7" t="s">
        <v>7</v>
      </c>
      <c r="H7" s="1">
        <v>34.714285714285715</v>
      </c>
      <c r="J7" s="7" t="s">
        <v>7</v>
      </c>
      <c r="K7" s="1">
        <v>7.4</v>
      </c>
    </row>
    <row r="8" spans="1:11">
      <c r="A8" s="1">
        <v>35.113207547169814</v>
      </c>
      <c r="B8" s="1"/>
      <c r="D8" s="7" t="s">
        <v>8</v>
      </c>
      <c r="E8" s="20">
        <v>17</v>
      </c>
      <c r="G8" s="7" t="s">
        <v>8</v>
      </c>
      <c r="H8" s="1">
        <v>42.823529411764703</v>
      </c>
      <c r="J8" s="7" t="s">
        <v>8</v>
      </c>
      <c r="K8" s="1">
        <v>4.5</v>
      </c>
    </row>
    <row r="9" spans="1:11">
      <c r="D9" s="7" t="s">
        <v>9</v>
      </c>
      <c r="E9" s="20">
        <v>19</v>
      </c>
      <c r="G9" s="7" t="s">
        <v>9</v>
      </c>
      <c r="H9" s="1">
        <v>32.157894736842103</v>
      </c>
      <c r="J9" s="7" t="s">
        <v>9</v>
      </c>
      <c r="K9" s="1">
        <v>4.8</v>
      </c>
    </row>
    <row r="10" spans="1:11">
      <c r="D10" s="7" t="s">
        <v>10</v>
      </c>
      <c r="E10" s="20">
        <v>12</v>
      </c>
      <c r="G10" s="7" t="s">
        <v>10</v>
      </c>
      <c r="H10" s="1">
        <v>34.833333333333336</v>
      </c>
      <c r="J10" s="7" t="s">
        <v>10</v>
      </c>
      <c r="K10" s="1">
        <v>4.75</v>
      </c>
    </row>
    <row r="11" spans="1:11">
      <c r="A11" t="s">
        <v>3</v>
      </c>
      <c r="D11" s="7" t="s">
        <v>11</v>
      </c>
      <c r="E11" s="20">
        <v>10</v>
      </c>
      <c r="G11" s="7" t="s">
        <v>11</v>
      </c>
      <c r="H11" s="1">
        <v>33.4</v>
      </c>
      <c r="J11" s="7" t="s">
        <v>12</v>
      </c>
      <c r="K11" s="1">
        <v>2.25</v>
      </c>
    </row>
    <row r="12" spans="1:11">
      <c r="A12" s="1">
        <v>5.1769911504424782</v>
      </c>
      <c r="B12" s="1"/>
      <c r="D12" s="7" t="s">
        <v>12</v>
      </c>
      <c r="E12" s="20">
        <v>20</v>
      </c>
      <c r="G12" s="7" t="s">
        <v>12</v>
      </c>
      <c r="H12" s="1">
        <v>28.15</v>
      </c>
      <c r="J12" s="7" t="s">
        <v>13</v>
      </c>
      <c r="K12" s="1">
        <v>4</v>
      </c>
    </row>
    <row r="13" spans="1:11">
      <c r="D13" s="7" t="s">
        <v>13</v>
      </c>
      <c r="E13" s="20">
        <v>12</v>
      </c>
      <c r="G13" s="7" t="s">
        <v>13</v>
      </c>
      <c r="H13" s="1">
        <v>31.333333333333332</v>
      </c>
      <c r="J13" s="7" t="s">
        <v>14</v>
      </c>
      <c r="K13" s="1">
        <v>6.666666666666667</v>
      </c>
    </row>
    <row r="14" spans="1:11">
      <c r="D14" s="7" t="s">
        <v>14</v>
      </c>
      <c r="E14" s="20">
        <v>24</v>
      </c>
      <c r="G14" s="7" t="s">
        <v>14</v>
      </c>
      <c r="H14" s="1">
        <v>37.375</v>
      </c>
      <c r="J14" s="7" t="s">
        <v>15</v>
      </c>
      <c r="K14" s="1">
        <v>2.6666666666666665</v>
      </c>
    </row>
    <row r="15" spans="1:11">
      <c r="A15" s="5" t="s">
        <v>1</v>
      </c>
      <c r="B15" t="s">
        <v>16</v>
      </c>
      <c r="D15" s="7" t="s">
        <v>15</v>
      </c>
      <c r="E15" s="20">
        <v>16</v>
      </c>
      <c r="G15" s="7" t="s">
        <v>15</v>
      </c>
      <c r="H15" s="1">
        <v>36.0625</v>
      </c>
      <c r="J15" s="7" t="s">
        <v>17</v>
      </c>
      <c r="K15" s="1">
        <v>3.6666666666666665</v>
      </c>
    </row>
    <row r="16" spans="1:11">
      <c r="A16" s="6" t="s">
        <v>18</v>
      </c>
      <c r="B16" s="9">
        <v>0.48867924528301887</v>
      </c>
      <c r="D16" s="7" t="s">
        <v>17</v>
      </c>
      <c r="E16" s="20">
        <v>16</v>
      </c>
      <c r="G16" s="7" t="s">
        <v>17</v>
      </c>
      <c r="H16" s="1">
        <v>40.5</v>
      </c>
      <c r="J16" s="7" t="s">
        <v>19</v>
      </c>
      <c r="K16" s="1">
        <v>4</v>
      </c>
    </row>
    <row r="17" spans="1:11">
      <c r="A17" s="6" t="s">
        <v>20</v>
      </c>
      <c r="B17" s="9">
        <v>0.51132075471698113</v>
      </c>
      <c r="D17" s="7" t="s">
        <v>19</v>
      </c>
      <c r="E17" s="20">
        <v>14</v>
      </c>
      <c r="G17" s="7" t="s">
        <v>19</v>
      </c>
      <c r="H17" s="1">
        <v>39.571428571428569</v>
      </c>
      <c r="J17" s="7" t="s">
        <v>21</v>
      </c>
      <c r="K17" s="1">
        <v>7.5</v>
      </c>
    </row>
    <row r="18" spans="1:11">
      <c r="A18" s="6" t="s">
        <v>22</v>
      </c>
      <c r="B18" s="9">
        <v>1</v>
      </c>
      <c r="D18" s="7" t="s">
        <v>21</v>
      </c>
      <c r="E18" s="20">
        <v>12</v>
      </c>
      <c r="G18" s="7" t="s">
        <v>21</v>
      </c>
      <c r="H18" s="1">
        <v>30.25</v>
      </c>
      <c r="J18" s="7" t="s">
        <v>23</v>
      </c>
      <c r="K18" s="1">
        <v>5.5</v>
      </c>
    </row>
    <row r="19" spans="1:11">
      <c r="D19" s="7" t="s">
        <v>23</v>
      </c>
      <c r="E19" s="20">
        <v>18</v>
      </c>
      <c r="G19" s="7" t="s">
        <v>23</v>
      </c>
      <c r="H19" s="1">
        <v>39.722222222222221</v>
      </c>
      <c r="J19" s="7" t="s">
        <v>24</v>
      </c>
      <c r="K19" s="1">
        <v>7.5</v>
      </c>
    </row>
    <row r="20" spans="1:11">
      <c r="A20" s="5" t="s">
        <v>1</v>
      </c>
      <c r="B20" t="s">
        <v>25</v>
      </c>
      <c r="D20" s="7" t="s">
        <v>24</v>
      </c>
      <c r="E20" s="20">
        <v>15</v>
      </c>
      <c r="G20" s="7" t="s">
        <v>24</v>
      </c>
      <c r="H20" s="1">
        <v>38.133333333333333</v>
      </c>
      <c r="J20" s="7" t="s">
        <v>26</v>
      </c>
      <c r="K20" s="1">
        <v>5</v>
      </c>
    </row>
    <row r="21" spans="1:11">
      <c r="A21" s="6" t="s">
        <v>27</v>
      </c>
      <c r="B21" s="8">
        <v>323</v>
      </c>
      <c r="D21" s="7" t="s">
        <v>26</v>
      </c>
      <c r="E21" s="20">
        <v>25</v>
      </c>
      <c r="G21" s="7" t="s">
        <v>26</v>
      </c>
      <c r="H21" s="1">
        <v>34.08</v>
      </c>
      <c r="J21" s="7" t="s">
        <v>28</v>
      </c>
      <c r="K21" s="1">
        <v>3.5</v>
      </c>
    </row>
    <row r="22" spans="1:11">
      <c r="A22" s="6" t="s">
        <v>29</v>
      </c>
      <c r="B22" s="8">
        <v>207</v>
      </c>
      <c r="D22" s="7" t="s">
        <v>28</v>
      </c>
      <c r="E22" s="20">
        <v>15</v>
      </c>
      <c r="G22" s="7" t="s">
        <v>28</v>
      </c>
      <c r="H22" s="1">
        <v>30.066666666666666</v>
      </c>
      <c r="J22" s="7" t="s">
        <v>30</v>
      </c>
      <c r="K22" s="1">
        <v>6.5</v>
      </c>
    </row>
    <row r="23" spans="1:11">
      <c r="A23" s="6" t="s">
        <v>22</v>
      </c>
      <c r="B23" s="8">
        <v>530</v>
      </c>
      <c r="D23" s="7" t="s">
        <v>30</v>
      </c>
      <c r="E23" s="20">
        <v>19</v>
      </c>
      <c r="G23" s="7" t="s">
        <v>30</v>
      </c>
      <c r="H23" s="1">
        <v>33.263157894736842</v>
      </c>
      <c r="J23" s="7" t="s">
        <v>31</v>
      </c>
      <c r="K23" s="1">
        <v>5.833333333333333</v>
      </c>
    </row>
    <row r="24" spans="1:11">
      <c r="D24" s="7" t="s">
        <v>31</v>
      </c>
      <c r="E24" s="20">
        <v>23</v>
      </c>
      <c r="G24" s="7" t="s">
        <v>31</v>
      </c>
      <c r="H24" s="1">
        <v>38.565217391304351</v>
      </c>
      <c r="J24" s="7" t="s">
        <v>32</v>
      </c>
      <c r="K24" s="1">
        <v>4.5</v>
      </c>
    </row>
    <row r="25" spans="1:11">
      <c r="D25" s="7" t="s">
        <v>32</v>
      </c>
      <c r="E25" s="20">
        <v>10</v>
      </c>
      <c r="G25" s="7" t="s">
        <v>32</v>
      </c>
      <c r="H25" s="1">
        <v>28.6</v>
      </c>
      <c r="J25" s="7" t="s">
        <v>33</v>
      </c>
      <c r="K25" s="1">
        <v>3.75</v>
      </c>
    </row>
    <row r="26" spans="1:11">
      <c r="A26" s="5" t="s">
        <v>1</v>
      </c>
      <c r="B26" t="s">
        <v>34</v>
      </c>
      <c r="D26" s="7" t="s">
        <v>33</v>
      </c>
      <c r="E26" s="20">
        <v>14</v>
      </c>
      <c r="G26" s="7" t="s">
        <v>33</v>
      </c>
      <c r="H26" s="1">
        <v>36.285714285714285</v>
      </c>
      <c r="J26" s="7" t="s">
        <v>35</v>
      </c>
      <c r="K26" s="1">
        <v>10</v>
      </c>
    </row>
    <row r="27" spans="1:11">
      <c r="A27" s="6" t="s">
        <v>36</v>
      </c>
      <c r="B27" s="8">
        <v>7</v>
      </c>
      <c r="D27" s="7" t="s">
        <v>35</v>
      </c>
      <c r="E27" s="20">
        <v>16</v>
      </c>
      <c r="G27" s="7" t="s">
        <v>35</v>
      </c>
      <c r="H27" s="1">
        <v>40.375</v>
      </c>
      <c r="J27" s="7" t="s">
        <v>37</v>
      </c>
      <c r="K27" s="1">
        <v>4</v>
      </c>
    </row>
    <row r="28" spans="1:11">
      <c r="A28" s="6" t="s">
        <v>38</v>
      </c>
      <c r="B28" s="8">
        <v>10</v>
      </c>
      <c r="D28" s="7" t="s">
        <v>37</v>
      </c>
      <c r="E28" s="20">
        <v>18</v>
      </c>
      <c r="G28" s="7" t="s">
        <v>37</v>
      </c>
      <c r="H28" s="1">
        <v>34.666666666666664</v>
      </c>
      <c r="J28" s="7" t="s">
        <v>39</v>
      </c>
      <c r="K28" s="1">
        <v>8.3333333333333339</v>
      </c>
    </row>
    <row r="29" spans="1:11">
      <c r="A29" s="6" t="s">
        <v>40</v>
      </c>
      <c r="B29" s="8">
        <v>12</v>
      </c>
      <c r="D29" s="7" t="s">
        <v>39</v>
      </c>
      <c r="E29" s="20">
        <v>22</v>
      </c>
      <c r="G29" s="7" t="s">
        <v>39</v>
      </c>
      <c r="H29" s="1">
        <v>34.863636363636367</v>
      </c>
      <c r="J29" s="7" t="s">
        <v>41</v>
      </c>
      <c r="K29" s="1">
        <v>3.25</v>
      </c>
    </row>
    <row r="30" spans="1:11">
      <c r="A30" s="6" t="s">
        <v>42</v>
      </c>
      <c r="B30" s="8">
        <v>14</v>
      </c>
      <c r="D30" s="7" t="s">
        <v>41</v>
      </c>
      <c r="E30" s="20">
        <v>14</v>
      </c>
      <c r="G30" s="7" t="s">
        <v>41</v>
      </c>
      <c r="H30" s="1">
        <v>30.928571428571427</v>
      </c>
      <c r="J30" s="7" t="s">
        <v>43</v>
      </c>
      <c r="K30" s="1">
        <v>6</v>
      </c>
    </row>
    <row r="31" spans="1:11">
      <c r="A31" s="6" t="s">
        <v>44</v>
      </c>
      <c r="B31" s="8">
        <v>18</v>
      </c>
      <c r="D31" s="7" t="s">
        <v>43</v>
      </c>
      <c r="E31" s="20">
        <v>15</v>
      </c>
      <c r="G31" s="7" t="s">
        <v>43</v>
      </c>
      <c r="H31" s="1">
        <v>35.6</v>
      </c>
      <c r="J31" s="7" t="s">
        <v>45</v>
      </c>
      <c r="K31" s="1">
        <v>6</v>
      </c>
    </row>
    <row r="32" spans="1:11">
      <c r="A32" s="6" t="s">
        <v>46</v>
      </c>
      <c r="B32" s="8">
        <v>53</v>
      </c>
      <c r="D32" s="7" t="s">
        <v>45</v>
      </c>
      <c r="E32" s="20">
        <v>21</v>
      </c>
      <c r="G32" s="7" t="s">
        <v>45</v>
      </c>
      <c r="H32" s="1">
        <v>34.952380952380949</v>
      </c>
      <c r="J32" s="7" t="s">
        <v>47</v>
      </c>
      <c r="K32" s="1">
        <v>3.3333333333333335</v>
      </c>
    </row>
    <row r="33" spans="1:11">
      <c r="A33" s="6" t="s">
        <v>48</v>
      </c>
      <c r="B33" s="8">
        <v>109</v>
      </c>
      <c r="D33" s="7" t="s">
        <v>47</v>
      </c>
      <c r="E33" s="20">
        <v>17</v>
      </c>
      <c r="G33" s="7" t="s">
        <v>47</v>
      </c>
      <c r="H33" s="1">
        <v>34.411764705882355</v>
      </c>
      <c r="J33" s="7" t="s">
        <v>49</v>
      </c>
      <c r="K33" s="1">
        <v>6.666666666666667</v>
      </c>
    </row>
    <row r="34" spans="1:11">
      <c r="A34" s="6" t="s">
        <v>50</v>
      </c>
      <c r="B34" s="8">
        <v>307</v>
      </c>
      <c r="D34" s="7" t="s">
        <v>49</v>
      </c>
      <c r="E34" s="20">
        <v>16</v>
      </c>
      <c r="G34" s="7" t="s">
        <v>49</v>
      </c>
      <c r="H34" s="1">
        <v>34</v>
      </c>
      <c r="J34" s="7" t="s">
        <v>51</v>
      </c>
      <c r="K34" s="1">
        <v>5.625</v>
      </c>
    </row>
    <row r="35" spans="1:11">
      <c r="A35" s="6" t="s">
        <v>22</v>
      </c>
      <c r="B35" s="1">
        <v>530</v>
      </c>
      <c r="D35" s="7" t="s">
        <v>51</v>
      </c>
      <c r="E35" s="20">
        <v>19</v>
      </c>
      <c r="G35" s="7" t="s">
        <v>51</v>
      </c>
      <c r="H35" s="1">
        <v>36.421052631578945</v>
      </c>
      <c r="J35" s="6" t="s">
        <v>22</v>
      </c>
      <c r="K35" s="1">
        <v>5.1769911504424782</v>
      </c>
    </row>
    <row r="36" spans="1:11">
      <c r="D36" s="6" t="s">
        <v>22</v>
      </c>
      <c r="E36" s="20">
        <v>530</v>
      </c>
      <c r="G36" s="6" t="s">
        <v>22</v>
      </c>
      <c r="H36" s="1">
        <v>35.113207547169814</v>
      </c>
    </row>
    <row r="38" spans="1:11">
      <c r="I38" s="5" t="s">
        <v>1</v>
      </c>
      <c r="J38" t="s">
        <v>52</v>
      </c>
    </row>
    <row r="39" spans="1:11">
      <c r="A39" s="4"/>
      <c r="B39" s="4"/>
      <c r="I39" s="6" t="s">
        <v>53</v>
      </c>
      <c r="J39" s="12">
        <v>0.45660377358490567</v>
      </c>
    </row>
    <row r="40" spans="1:11">
      <c r="A40" s="5" t="s">
        <v>1</v>
      </c>
      <c r="B40" t="s">
        <v>54</v>
      </c>
      <c r="D40" s="5" t="s">
        <v>1</v>
      </c>
      <c r="E40" t="s">
        <v>52</v>
      </c>
      <c r="I40" s="6" t="s">
        <v>55</v>
      </c>
      <c r="J40" s="12">
        <v>0.54339622641509433</v>
      </c>
    </row>
    <row r="41" spans="1:11" ht="21" customHeight="1">
      <c r="A41" s="6" t="s">
        <v>56</v>
      </c>
      <c r="B41" s="8">
        <v>199</v>
      </c>
      <c r="D41" s="6" t="s">
        <v>53</v>
      </c>
      <c r="E41" s="8">
        <v>242</v>
      </c>
      <c r="I41" s="10" t="s">
        <v>22</v>
      </c>
      <c r="J41" s="13">
        <v>1</v>
      </c>
    </row>
    <row r="42" spans="1:11" ht="19.899999999999999" customHeight="1">
      <c r="A42" s="6" t="s">
        <v>57</v>
      </c>
      <c r="B42" s="8">
        <v>76</v>
      </c>
      <c r="D42" s="6" t="s">
        <v>55</v>
      </c>
      <c r="E42" s="8">
        <v>288</v>
      </c>
    </row>
    <row r="43" spans="1:11">
      <c r="A43" s="6" t="s">
        <v>58</v>
      </c>
      <c r="B43" s="8">
        <v>108</v>
      </c>
      <c r="D43" s="10" t="s">
        <v>22</v>
      </c>
      <c r="E43" s="11">
        <v>530</v>
      </c>
      <c r="H43" t="str">
        <f t="shared" ref="H43:I46" si="0">D46</f>
        <v>Patient  Admission Status</v>
      </c>
      <c r="I43">
        <f t="shared" si="0"/>
        <v>0</v>
      </c>
    </row>
    <row r="44" spans="1:11">
      <c r="A44" s="6" t="s">
        <v>59</v>
      </c>
      <c r="B44" s="8">
        <v>45</v>
      </c>
      <c r="H44" t="str">
        <f t="shared" si="0"/>
        <v>Admitted</v>
      </c>
      <c r="I44">
        <f t="shared" si="0"/>
        <v>242</v>
      </c>
    </row>
    <row r="45" spans="1:11">
      <c r="A45" s="6" t="s">
        <v>60</v>
      </c>
      <c r="B45" s="8">
        <v>102</v>
      </c>
      <c r="E45" s="8"/>
      <c r="H45" t="str">
        <f t="shared" si="0"/>
        <v>Not Admitted</v>
      </c>
      <c r="I45">
        <f t="shared" si="0"/>
        <v>288</v>
      </c>
    </row>
    <row r="46" spans="1:11">
      <c r="A46" s="6" t="s">
        <v>22</v>
      </c>
      <c r="B46" s="8">
        <v>530</v>
      </c>
      <c r="D46" s="19" t="s">
        <v>61</v>
      </c>
      <c r="E46" s="19"/>
      <c r="H46" t="str">
        <f t="shared" si="0"/>
        <v>Grand Total</v>
      </c>
      <c r="I46">
        <f t="shared" si="0"/>
        <v>530</v>
      </c>
    </row>
    <row r="47" spans="1:11">
      <c r="D47" t="str">
        <f t="shared" ref="D47:E49" si="1">D41</f>
        <v>Admitted</v>
      </c>
      <c r="E47">
        <f t="shared" si="1"/>
        <v>242</v>
      </c>
    </row>
    <row r="48" spans="1:11">
      <c r="D48" t="str">
        <f t="shared" si="1"/>
        <v>Not Admitted</v>
      </c>
      <c r="E48">
        <f t="shared" si="1"/>
        <v>288</v>
      </c>
    </row>
    <row r="49" spans="1:5">
      <c r="A49" s="5" t="s">
        <v>1</v>
      </c>
      <c r="D49" s="18" t="str">
        <f t="shared" si="1"/>
        <v>Grand Total</v>
      </c>
      <c r="E49" s="18">
        <f t="shared" si="1"/>
        <v>530</v>
      </c>
    </row>
    <row r="50" spans="1:5">
      <c r="A50" s="6" t="s">
        <v>62</v>
      </c>
    </row>
    <row r="51" spans="1:5">
      <c r="A51" s="6" t="s">
        <v>22</v>
      </c>
    </row>
  </sheetData>
  <mergeCells count="1">
    <mergeCell ref="D46:E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9296B-1D6E-4E2F-81D4-3A3157FE23CA}">
  <dimension ref="A1:AF85"/>
  <sheetViews>
    <sheetView tabSelected="1" zoomScale="79" zoomScaleNormal="70" workbookViewId="0"/>
  </sheetViews>
  <sheetFormatPr defaultRowHeight="14.45"/>
  <sheetData>
    <row r="1" spans="1:3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row>
    <row r="2" spans="1:3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row>
    <row r="3" spans="1:32">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spans="1:32">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spans="1:3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spans="1:32">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spans="1:32">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spans="1:32">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spans="1:32">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spans="1:32">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spans="1:32">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spans="1:3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spans="1:3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spans="1:32">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spans="1:32">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spans="1:32">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spans="1:32">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spans="1:32">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spans="1:32">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spans="1:3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spans="1:32">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spans="1:3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32">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spans="1:32">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32">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spans="1:32">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spans="1:32">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spans="1:32">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spans="1:32">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spans="1:32">
      <c r="A32" s="3"/>
      <c r="B32" s="3"/>
      <c r="C32" s="3"/>
      <c r="D32" s="14"/>
      <c r="E32" s="15"/>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spans="1:32">
      <c r="A33" s="3"/>
      <c r="B33" s="3"/>
      <c r="C33" s="3"/>
      <c r="D33" s="14"/>
      <c r="E33" s="15"/>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spans="1:32">
      <c r="A34" s="3"/>
      <c r="B34" s="3"/>
      <c r="C34" s="3"/>
      <c r="D34" s="16"/>
      <c r="E34" s="17"/>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1:32">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1:3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spans="1:3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spans="1:3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spans="1:3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spans="1:3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spans="1:32">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spans="1:32">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spans="1:32">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spans="1:3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spans="1:32">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spans="1:32">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spans="1:3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1:3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spans="1:3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1:3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spans="1:3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spans="1:3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spans="1:3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spans="1:3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spans="1:3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spans="1:3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spans="1:3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spans="1:3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spans="1:3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spans="1:3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spans="1:3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spans="1:3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spans="1:3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spans="1:3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spans="1:3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spans="1:3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spans="1:3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spans="1:3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spans="1:3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spans="1:3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spans="1:3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spans="1:3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spans="1:3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spans="1:3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spans="1:3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spans="1:3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spans="1:3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spans="1:3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spans="1:3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spans="1:3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spans="1:3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spans="1:3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spans="1:3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B7D3C-E564-4CD0-BF1D-A5652A2B9E38}">
  <dimension ref="A1:AH67"/>
  <sheetViews>
    <sheetView zoomScaleNormal="100" workbookViewId="0">
      <selection activeCell="H10" sqref="H10"/>
    </sheetView>
  </sheetViews>
  <sheetFormatPr defaultRowHeight="14.45"/>
  <sheetData>
    <row r="1" spans="1:34">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spans="1:34">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row>
    <row r="3" spans="1:34">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row>
    <row r="4" spans="1:34">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row>
    <row r="5" spans="1:3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row>
    <row r="6" spans="1:34">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row>
    <row r="7" spans="1:34">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row>
    <row r="8" spans="1:34">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row>
    <row r="9" spans="1:34">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row>
    <row r="10" spans="1:34">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row>
    <row r="11" spans="1:34">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row>
    <row r="12" spans="1:34">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row>
    <row r="13" spans="1:34">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row>
    <row r="14" spans="1:3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row>
    <row r="15" spans="1:34">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row>
    <row r="16" spans="1:34">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row>
    <row r="17" spans="1:34">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row>
    <row r="18" spans="1:34">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row>
    <row r="19" spans="1:34">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row>
    <row r="20" spans="1:34">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row>
    <row r="21" spans="1:34">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row>
    <row r="22" spans="1:34">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row>
    <row r="23" spans="1:34">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row>
    <row r="24" spans="1:3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row>
    <row r="25" spans="1:34">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row>
    <row r="26" spans="1:34">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row>
    <row r="27" spans="1:34">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row>
    <row r="28" spans="1:34">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row>
    <row r="29" spans="1:34">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row>
    <row r="30" spans="1:34">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row>
    <row r="31" spans="1:34">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row>
    <row r="32" spans="1:34">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row>
    <row r="33" spans="1:34">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row>
    <row r="34" spans="1: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row>
    <row r="35" spans="1:34">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row>
    <row r="36" spans="1:34">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row>
    <row r="37" spans="1:34">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row>
    <row r="38" spans="1:34">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row>
    <row r="39" spans="1:34">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row>
    <row r="40" spans="1:34">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row>
    <row r="41" spans="1:34">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row>
    <row r="42" spans="1:34">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row>
    <row r="43" spans="1:34">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row>
    <row r="44" spans="1:3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row>
    <row r="45" spans="1:34">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row>
    <row r="46" spans="1:34">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row>
    <row r="47" spans="1:34">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row>
    <row r="48" spans="1:34">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row>
    <row r="49" spans="1:34">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row>
    <row r="50" spans="1:34">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row>
    <row r="51" spans="1:34">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row>
    <row r="52" spans="1:34">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row>
    <row r="53" spans="1:34">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row>
    <row r="54" spans="1:3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row>
    <row r="55" spans="1:34">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row>
    <row r="56" spans="1:34">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row>
    <row r="57" spans="1:34">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row>
    <row r="58" spans="1:34">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row>
    <row r="59" spans="1:34">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row>
    <row r="60" spans="1:34">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row>
    <row r="61" spans="1:34">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row>
    <row r="62" spans="1:34">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row>
    <row r="63" spans="1:34">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row>
    <row r="64" spans="1:3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row>
    <row r="65" spans="1:34">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row>
    <row r="66" spans="1:34">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row>
    <row r="67" spans="1:34">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row>
  </sheetData>
  <sheetProtection sheet="1" objects="1" scenario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89CAD-26E9-47B9-8012-38CCEF4F7793}">
  <dimension ref="A1:AB34"/>
  <sheetViews>
    <sheetView workbookViewId="0"/>
  </sheetViews>
  <sheetFormatPr defaultRowHeight="14.45"/>
  <sheetData>
    <row r="1" spans="1:28">
      <c r="A1" s="3"/>
      <c r="B1" s="3"/>
      <c r="C1" s="3"/>
      <c r="D1" s="3"/>
      <c r="E1" s="3"/>
      <c r="F1" s="3"/>
      <c r="G1" s="3"/>
      <c r="H1" s="3"/>
      <c r="I1" s="3"/>
      <c r="J1" s="3"/>
      <c r="K1" s="3"/>
      <c r="L1" s="3"/>
      <c r="M1" s="3"/>
      <c r="N1" s="3"/>
      <c r="O1" s="3"/>
      <c r="P1" s="3"/>
      <c r="Q1" s="3"/>
      <c r="R1" s="3"/>
      <c r="S1" s="3"/>
      <c r="T1" s="3"/>
      <c r="U1" s="3"/>
      <c r="V1" s="3"/>
      <c r="W1" s="3"/>
      <c r="X1" s="3"/>
      <c r="Y1" s="3"/>
      <c r="Z1" s="3"/>
      <c r="AA1" s="3"/>
      <c r="AB1" s="3"/>
    </row>
    <row r="2" spans="1:28">
      <c r="A2" s="3"/>
      <c r="B2" s="3"/>
      <c r="C2" s="3"/>
      <c r="D2" s="3"/>
      <c r="E2" s="3"/>
      <c r="F2" s="3"/>
      <c r="G2" s="3"/>
      <c r="H2" s="3"/>
      <c r="I2" s="3"/>
      <c r="J2" s="3"/>
      <c r="K2" s="3"/>
      <c r="L2" s="3"/>
      <c r="M2" s="3"/>
      <c r="N2" s="3"/>
      <c r="O2" s="3"/>
      <c r="P2" s="3"/>
      <c r="Q2" s="3"/>
      <c r="R2" s="3"/>
      <c r="S2" s="3"/>
      <c r="T2" s="3"/>
      <c r="U2" s="3"/>
      <c r="V2" s="3"/>
      <c r="W2" s="3"/>
      <c r="X2" s="3"/>
      <c r="Y2" s="3"/>
      <c r="Z2" s="3"/>
      <c r="AA2" s="3"/>
      <c r="AB2" s="3"/>
    </row>
    <row r="3" spans="1:28">
      <c r="A3" s="3"/>
      <c r="B3" s="3"/>
      <c r="C3" s="3"/>
      <c r="D3" s="3"/>
      <c r="E3" s="3"/>
      <c r="F3" s="3"/>
      <c r="G3" s="3"/>
      <c r="H3" s="3"/>
      <c r="I3" s="3"/>
      <c r="J3" s="3"/>
      <c r="K3" s="3"/>
      <c r="L3" s="3"/>
      <c r="M3" s="3"/>
      <c r="N3" s="3"/>
      <c r="O3" s="3"/>
      <c r="P3" s="3"/>
      <c r="Q3" s="3"/>
      <c r="R3" s="3"/>
      <c r="S3" s="3"/>
      <c r="T3" s="3"/>
      <c r="U3" s="3"/>
      <c r="V3" s="3"/>
      <c r="W3" s="3"/>
      <c r="X3" s="3"/>
      <c r="Y3" s="3"/>
      <c r="Z3" s="3"/>
      <c r="AA3" s="3"/>
      <c r="AB3" s="3"/>
    </row>
    <row r="4" spans="1:28">
      <c r="A4" s="3"/>
      <c r="B4" s="3"/>
      <c r="C4" s="3"/>
      <c r="D4" s="3"/>
      <c r="E4" s="3"/>
      <c r="F4" s="3"/>
      <c r="G4" s="3"/>
      <c r="H4" s="3"/>
      <c r="I4" s="3"/>
      <c r="J4" s="3"/>
      <c r="K4" s="3"/>
      <c r="L4" s="3"/>
      <c r="M4" s="3"/>
      <c r="N4" s="3"/>
      <c r="O4" s="3"/>
      <c r="P4" s="3"/>
      <c r="Q4" s="3"/>
      <c r="R4" s="3"/>
      <c r="S4" s="3"/>
      <c r="T4" s="3"/>
      <c r="U4" s="3"/>
      <c r="V4" s="3"/>
      <c r="W4" s="3"/>
      <c r="X4" s="3"/>
      <c r="Y4" s="3"/>
      <c r="Z4" s="3"/>
      <c r="AA4" s="3"/>
      <c r="AB4" s="3"/>
    </row>
    <row r="5" spans="1:28">
      <c r="A5" s="3"/>
      <c r="B5" s="3"/>
      <c r="C5" s="3"/>
      <c r="D5" s="3"/>
      <c r="E5" s="3"/>
      <c r="F5" s="3"/>
      <c r="G5" s="3"/>
      <c r="H5" s="3"/>
      <c r="I5" s="3"/>
      <c r="J5" s="3"/>
      <c r="K5" s="3"/>
      <c r="L5" s="3"/>
      <c r="M5" s="3"/>
      <c r="N5" s="3"/>
      <c r="O5" s="3"/>
      <c r="P5" s="3"/>
      <c r="Q5" s="3"/>
      <c r="R5" s="3"/>
      <c r="S5" s="3"/>
      <c r="T5" s="3"/>
      <c r="U5" s="3"/>
      <c r="V5" s="3"/>
      <c r="W5" s="3"/>
      <c r="X5" s="3"/>
      <c r="Y5" s="3"/>
      <c r="Z5" s="3"/>
      <c r="AA5" s="3"/>
      <c r="AB5" s="3"/>
    </row>
    <row r="6" spans="1:28">
      <c r="A6" s="3"/>
      <c r="B6" s="3"/>
      <c r="C6" s="3"/>
      <c r="D6" s="3"/>
      <c r="E6" s="3"/>
      <c r="F6" s="3"/>
      <c r="G6" s="3"/>
      <c r="H6" s="3"/>
      <c r="I6" s="3"/>
      <c r="J6" s="3"/>
      <c r="K6" s="3"/>
      <c r="L6" s="3"/>
      <c r="M6" s="3"/>
      <c r="N6" s="3"/>
      <c r="O6" s="3"/>
      <c r="P6" s="3"/>
      <c r="Q6" s="3"/>
      <c r="R6" s="3"/>
      <c r="S6" s="3"/>
      <c r="T6" s="3"/>
      <c r="U6" s="3"/>
      <c r="V6" s="3"/>
      <c r="W6" s="3"/>
      <c r="X6" s="3"/>
      <c r="Y6" s="3"/>
      <c r="Z6" s="3"/>
      <c r="AA6" s="3"/>
      <c r="AB6" s="3"/>
    </row>
    <row r="7" spans="1:28">
      <c r="A7" s="3"/>
      <c r="B7" s="3"/>
      <c r="C7" s="3"/>
      <c r="D7" s="3"/>
      <c r="E7" s="3"/>
      <c r="F7" s="3"/>
      <c r="G7" s="3"/>
      <c r="H7" s="3"/>
      <c r="I7" s="3"/>
      <c r="J7" s="3"/>
      <c r="K7" s="3"/>
      <c r="L7" s="3"/>
      <c r="M7" s="3"/>
      <c r="N7" s="3"/>
      <c r="O7" s="3"/>
      <c r="P7" s="3"/>
      <c r="Q7" s="3"/>
      <c r="R7" s="3"/>
      <c r="S7" s="3"/>
      <c r="T7" s="3"/>
      <c r="U7" s="3"/>
      <c r="V7" s="3"/>
      <c r="W7" s="3"/>
      <c r="X7" s="3"/>
      <c r="Y7" s="3"/>
      <c r="Z7" s="3"/>
      <c r="AA7" s="3"/>
      <c r="AB7" s="3"/>
    </row>
    <row r="8" spans="1:28">
      <c r="A8" s="3"/>
      <c r="B8" s="3"/>
      <c r="C8" s="3"/>
      <c r="D8" s="3"/>
      <c r="E8" s="3"/>
      <c r="F8" s="3"/>
      <c r="G8" s="3"/>
      <c r="H8" s="3"/>
      <c r="I8" s="3"/>
      <c r="J8" s="3"/>
      <c r="K8" s="3"/>
      <c r="L8" s="3"/>
      <c r="M8" s="3"/>
      <c r="N8" s="3"/>
      <c r="O8" s="3"/>
      <c r="P8" s="3"/>
      <c r="Q8" s="3"/>
      <c r="R8" s="3"/>
      <c r="S8" s="3"/>
      <c r="T8" s="3"/>
      <c r="U8" s="3"/>
      <c r="V8" s="3"/>
      <c r="W8" s="3"/>
      <c r="X8" s="3"/>
      <c r="Y8" s="3"/>
      <c r="Z8" s="3"/>
      <c r="AA8" s="3"/>
      <c r="AB8" s="3"/>
    </row>
    <row r="9" spans="1:28">
      <c r="A9" s="3"/>
      <c r="B9" s="3"/>
      <c r="C9" s="3"/>
      <c r="D9" s="3"/>
      <c r="E9" s="3"/>
      <c r="F9" s="3"/>
      <c r="G9" s="3"/>
      <c r="H9" s="3"/>
      <c r="I9" s="3"/>
      <c r="J9" s="3"/>
      <c r="K9" s="3"/>
      <c r="L9" s="3"/>
      <c r="M9" s="3"/>
      <c r="N9" s="3"/>
      <c r="O9" s="3"/>
      <c r="P9" s="3"/>
      <c r="Q9" s="3"/>
      <c r="R9" s="3"/>
      <c r="S9" s="3"/>
      <c r="T9" s="3"/>
      <c r="U9" s="3"/>
      <c r="V9" s="3"/>
      <c r="W9" s="3"/>
      <c r="X9" s="3"/>
      <c r="Y9" s="3"/>
      <c r="Z9" s="3"/>
      <c r="AA9" s="3"/>
      <c r="AB9" s="3"/>
    </row>
    <row r="10" spans="1:28">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row>
    <row r="11" spans="1:28">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row>
    <row r="12" spans="1:28">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spans="1:28">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spans="1:28">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1:28">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spans="1:2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1:28">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spans="1:28">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spans="1:28">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spans="1:28">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spans="1:28">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spans="1:28">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spans="1:28">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spans="1:28">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spans="1:28">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spans="1: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spans="1:28">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1:28">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spans="1:28">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sheetData>
  <sheetProtection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45A13-CE2F-485D-B4F8-E0240A719B87}">
  <dimension ref="A1:Y52"/>
  <sheetViews>
    <sheetView workbookViewId="0"/>
  </sheetViews>
  <sheetFormatPr defaultRowHeight="14.45"/>
  <sheetData>
    <row r="1" spans="1:25">
      <c r="A1" s="3"/>
      <c r="B1" s="3"/>
      <c r="C1" s="3"/>
      <c r="D1" s="3"/>
      <c r="E1" s="3"/>
      <c r="F1" s="3"/>
      <c r="G1" s="3"/>
      <c r="H1" s="3"/>
      <c r="I1" s="3"/>
      <c r="J1" s="3"/>
      <c r="K1" s="3"/>
      <c r="L1" s="3"/>
      <c r="M1" s="3"/>
      <c r="N1" s="3"/>
      <c r="O1" s="3"/>
      <c r="P1" s="3"/>
      <c r="Q1" s="3"/>
      <c r="R1" s="3"/>
      <c r="S1" s="3"/>
      <c r="T1" s="3"/>
      <c r="U1" s="3"/>
      <c r="V1" s="3"/>
      <c r="W1" s="3"/>
      <c r="X1" s="3"/>
      <c r="Y1" s="3"/>
    </row>
    <row r="2" spans="1:25">
      <c r="A2" s="3"/>
      <c r="B2" s="3"/>
      <c r="C2" s="3"/>
      <c r="D2" s="3"/>
      <c r="E2" s="3"/>
      <c r="F2" s="3"/>
      <c r="G2" s="3"/>
      <c r="H2" s="3"/>
      <c r="I2" s="3"/>
      <c r="J2" s="3"/>
      <c r="K2" s="3"/>
      <c r="L2" s="3"/>
      <c r="M2" s="3"/>
      <c r="N2" s="3"/>
      <c r="O2" s="3"/>
      <c r="P2" s="3"/>
      <c r="Q2" s="3"/>
      <c r="R2" s="3"/>
      <c r="S2" s="3"/>
      <c r="T2" s="3"/>
      <c r="U2" s="3"/>
      <c r="V2" s="3"/>
      <c r="W2" s="3"/>
      <c r="X2" s="3"/>
      <c r="Y2" s="3"/>
    </row>
    <row r="3" spans="1:25">
      <c r="A3" s="3"/>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3"/>
      <c r="F4" s="3"/>
      <c r="G4" s="3"/>
      <c r="H4" s="3"/>
      <c r="I4" s="3"/>
      <c r="J4" s="3"/>
      <c r="K4" s="3"/>
      <c r="L4" s="3"/>
      <c r="M4" s="3"/>
      <c r="N4" s="3"/>
      <c r="O4" s="3"/>
      <c r="P4" s="3"/>
      <c r="Q4" s="3"/>
      <c r="R4" s="3"/>
      <c r="S4" s="3"/>
      <c r="T4" s="3"/>
      <c r="U4" s="3"/>
      <c r="V4" s="3"/>
      <c r="W4" s="3"/>
      <c r="X4" s="3"/>
      <c r="Y4" s="3"/>
    </row>
    <row r="5" spans="1:25">
      <c r="A5" s="3"/>
      <c r="B5" s="3"/>
      <c r="C5" s="3"/>
      <c r="D5" s="3"/>
      <c r="E5" s="3"/>
      <c r="F5" s="3"/>
      <c r="G5" s="3"/>
      <c r="H5" s="3"/>
      <c r="I5" s="3"/>
      <c r="J5" s="3"/>
      <c r="K5" s="3"/>
      <c r="L5" s="3"/>
      <c r="M5" s="3"/>
      <c r="N5" s="3"/>
      <c r="O5" s="3"/>
      <c r="P5" s="3"/>
      <c r="Q5" s="3"/>
      <c r="R5" s="3"/>
      <c r="S5" s="3"/>
      <c r="T5" s="3"/>
      <c r="U5" s="3"/>
      <c r="V5" s="3"/>
      <c r="W5" s="3"/>
      <c r="X5" s="3"/>
      <c r="Y5" s="3"/>
    </row>
    <row r="6" spans="1:25">
      <c r="A6" s="3"/>
      <c r="B6" s="3"/>
      <c r="C6" s="3"/>
      <c r="D6" s="3"/>
      <c r="E6" s="3"/>
      <c r="F6" s="3"/>
      <c r="G6" s="3"/>
      <c r="H6" s="3"/>
      <c r="I6" s="3"/>
      <c r="J6" s="3"/>
      <c r="K6" s="3"/>
      <c r="L6" s="3"/>
      <c r="M6" s="3"/>
      <c r="N6" s="3"/>
      <c r="O6" s="3"/>
      <c r="P6" s="3"/>
      <c r="Q6" s="3"/>
      <c r="R6" s="3"/>
      <c r="S6" s="3"/>
      <c r="T6" s="3"/>
      <c r="U6" s="3"/>
      <c r="V6" s="3"/>
      <c r="W6" s="3"/>
      <c r="X6" s="3"/>
      <c r="Y6" s="3"/>
    </row>
    <row r="7" spans="1:25">
      <c r="A7" s="3"/>
      <c r="B7" s="3"/>
      <c r="C7" s="3"/>
      <c r="D7" s="3"/>
      <c r="E7" s="3"/>
      <c r="F7" s="3"/>
      <c r="G7" s="3"/>
      <c r="H7" s="3"/>
      <c r="I7" s="3"/>
      <c r="J7" s="3"/>
      <c r="K7" s="3"/>
      <c r="L7" s="3"/>
      <c r="M7" s="3"/>
      <c r="N7" s="3"/>
      <c r="O7" s="3"/>
      <c r="P7" s="3"/>
      <c r="Q7" s="3"/>
      <c r="R7" s="3"/>
      <c r="S7" s="3"/>
      <c r="T7" s="3"/>
      <c r="U7" s="3"/>
      <c r="V7" s="3"/>
      <c r="W7" s="3"/>
      <c r="X7" s="3"/>
      <c r="Y7" s="3"/>
    </row>
    <row r="8" spans="1:25">
      <c r="A8" s="3"/>
      <c r="B8" s="3"/>
      <c r="C8" s="3"/>
      <c r="D8" s="3"/>
      <c r="E8" s="3"/>
      <c r="F8" s="3"/>
      <c r="G8" s="3"/>
      <c r="H8" s="3"/>
      <c r="I8" s="3"/>
      <c r="J8" s="3"/>
      <c r="K8" s="3"/>
      <c r="L8" s="3"/>
      <c r="M8" s="3"/>
      <c r="N8" s="3"/>
      <c r="O8" s="3"/>
      <c r="P8" s="3"/>
      <c r="Q8" s="3"/>
      <c r="R8" s="3"/>
      <c r="S8" s="3"/>
      <c r="T8" s="3"/>
      <c r="U8" s="3"/>
      <c r="V8" s="3"/>
      <c r="W8" s="3"/>
      <c r="X8" s="3"/>
      <c r="Y8" s="3"/>
    </row>
    <row r="9" spans="1:25">
      <c r="A9" s="3"/>
      <c r="B9" s="3"/>
      <c r="C9" s="3"/>
      <c r="D9" s="3"/>
      <c r="E9" s="3"/>
      <c r="F9" s="3"/>
      <c r="G9" s="3"/>
      <c r="H9" s="3"/>
      <c r="I9" s="3"/>
      <c r="J9" s="3"/>
      <c r="K9" s="3"/>
      <c r="L9" s="3"/>
      <c r="M9" s="3"/>
      <c r="N9" s="3"/>
      <c r="O9" s="3"/>
      <c r="P9" s="3"/>
      <c r="Q9" s="3"/>
      <c r="R9" s="3"/>
      <c r="S9" s="3"/>
      <c r="T9" s="3"/>
      <c r="U9" s="3"/>
      <c r="V9" s="3"/>
      <c r="W9" s="3"/>
      <c r="X9" s="3"/>
      <c r="Y9" s="3"/>
    </row>
    <row r="10" spans="1:25">
      <c r="A10" s="3"/>
      <c r="B10" s="3"/>
      <c r="C10" s="3"/>
      <c r="D10" s="3"/>
      <c r="E10" s="3"/>
      <c r="F10" s="3"/>
      <c r="G10" s="3"/>
      <c r="H10" s="3"/>
      <c r="I10" s="3"/>
      <c r="J10" s="3"/>
      <c r="K10" s="3"/>
      <c r="L10" s="3"/>
      <c r="M10" s="3"/>
      <c r="N10" s="3"/>
      <c r="O10" s="3"/>
      <c r="P10" s="3"/>
      <c r="Q10" s="3"/>
      <c r="R10" s="3"/>
      <c r="S10" s="3"/>
      <c r="T10" s="3"/>
      <c r="U10" s="3"/>
      <c r="V10" s="3"/>
      <c r="W10" s="3"/>
      <c r="X10" s="3"/>
      <c r="Y10" s="3"/>
    </row>
    <row r="11" spans="1:25">
      <c r="A11" s="3"/>
      <c r="B11" s="3"/>
      <c r="C11" s="3"/>
      <c r="D11" s="3"/>
      <c r="E11" s="3"/>
      <c r="F11" s="3"/>
      <c r="G11" s="3"/>
      <c r="H11" s="3"/>
      <c r="I11" s="3"/>
      <c r="J11" s="3"/>
      <c r="K11" s="3"/>
      <c r="L11" s="3"/>
      <c r="M11" s="3"/>
      <c r="N11" s="3"/>
      <c r="O11" s="3"/>
      <c r="P11" s="3"/>
      <c r="Q11" s="3"/>
      <c r="R11" s="3"/>
      <c r="S11" s="3"/>
      <c r="T11" s="3"/>
      <c r="U11" s="3"/>
      <c r="V11" s="3"/>
      <c r="W11" s="3"/>
      <c r="X11" s="3"/>
      <c r="Y11" s="3"/>
    </row>
    <row r="12" spans="1:25">
      <c r="A12" s="3"/>
      <c r="B12" s="3"/>
      <c r="C12" s="3"/>
      <c r="D12" s="3"/>
      <c r="E12" s="3"/>
      <c r="F12" s="3"/>
      <c r="G12" s="3"/>
      <c r="H12" s="3"/>
      <c r="I12" s="3"/>
      <c r="J12" s="3"/>
      <c r="K12" s="3"/>
      <c r="L12" s="3"/>
      <c r="M12" s="3"/>
      <c r="N12" s="3"/>
      <c r="O12" s="3"/>
      <c r="P12" s="3"/>
      <c r="Q12" s="3"/>
      <c r="R12" s="3"/>
      <c r="S12" s="3"/>
      <c r="T12" s="3"/>
      <c r="U12" s="3"/>
      <c r="V12" s="3"/>
      <c r="W12" s="3"/>
      <c r="X12" s="3"/>
      <c r="Y12" s="3"/>
    </row>
    <row r="13" spans="1:25">
      <c r="A13" s="3"/>
      <c r="B13" s="3"/>
      <c r="C13" s="3"/>
      <c r="D13" s="3"/>
      <c r="E13" s="3"/>
      <c r="F13" s="3"/>
      <c r="G13" s="3"/>
      <c r="H13" s="3"/>
      <c r="I13" s="3"/>
      <c r="J13" s="3"/>
      <c r="K13" s="3"/>
      <c r="L13" s="3"/>
      <c r="M13" s="3"/>
      <c r="N13" s="3"/>
      <c r="O13" s="3"/>
      <c r="P13" s="3"/>
      <c r="Q13" s="3"/>
      <c r="R13" s="3"/>
      <c r="S13" s="3"/>
      <c r="T13" s="3"/>
      <c r="U13" s="3"/>
      <c r="V13" s="3"/>
      <c r="W13" s="3"/>
      <c r="X13" s="3"/>
      <c r="Y13" s="3"/>
    </row>
    <row r="14" spans="1:25">
      <c r="A14" s="3"/>
      <c r="B14" s="3"/>
      <c r="C14" s="3"/>
      <c r="D14" s="3"/>
      <c r="E14" s="3"/>
      <c r="F14" s="3"/>
      <c r="G14" s="3"/>
      <c r="H14" s="3"/>
      <c r="I14" s="3"/>
      <c r="J14" s="3"/>
      <c r="K14" s="3"/>
      <c r="L14" s="3"/>
      <c r="M14" s="3"/>
      <c r="N14" s="3"/>
      <c r="O14" s="3"/>
      <c r="P14" s="3"/>
      <c r="Q14" s="3"/>
      <c r="R14" s="3"/>
      <c r="S14" s="3"/>
      <c r="T14" s="3"/>
      <c r="U14" s="3"/>
      <c r="V14" s="3"/>
      <c r="W14" s="3"/>
      <c r="X14" s="3"/>
      <c r="Y14" s="3"/>
    </row>
    <row r="15" spans="1:25">
      <c r="A15" s="3"/>
      <c r="B15" s="3"/>
      <c r="C15" s="3"/>
      <c r="D15" s="3"/>
      <c r="E15" s="3"/>
      <c r="F15" s="3"/>
      <c r="G15" s="3"/>
      <c r="H15" s="3"/>
      <c r="I15" s="3"/>
      <c r="J15" s="3"/>
      <c r="K15" s="3"/>
      <c r="L15" s="3"/>
      <c r="M15" s="3"/>
      <c r="N15" s="3"/>
      <c r="O15" s="3"/>
      <c r="P15" s="3"/>
      <c r="Q15" s="3"/>
      <c r="R15" s="3"/>
      <c r="S15" s="3"/>
      <c r="T15" s="3"/>
      <c r="U15" s="3"/>
      <c r="V15" s="3"/>
      <c r="W15" s="3"/>
      <c r="X15" s="3"/>
      <c r="Y15" s="3"/>
    </row>
    <row r="16" spans="1:25">
      <c r="A16" s="3"/>
      <c r="B16" s="3"/>
      <c r="C16" s="3"/>
      <c r="D16" s="3"/>
      <c r="E16" s="3"/>
      <c r="F16" s="3"/>
      <c r="G16" s="3"/>
      <c r="H16" s="3"/>
      <c r="I16" s="3"/>
      <c r="J16" s="3"/>
      <c r="K16" s="3"/>
      <c r="L16" s="3"/>
      <c r="M16" s="3"/>
      <c r="N16" s="3"/>
      <c r="O16" s="3"/>
      <c r="P16" s="3"/>
      <c r="Q16" s="3"/>
      <c r="R16" s="3"/>
      <c r="S16" s="3"/>
      <c r="T16" s="3"/>
      <c r="U16" s="3"/>
      <c r="V16" s="3"/>
      <c r="W16" s="3"/>
      <c r="X16" s="3"/>
      <c r="Y16" s="3"/>
    </row>
    <row r="17" spans="1:25">
      <c r="A17" s="3"/>
      <c r="B17" s="3"/>
      <c r="C17" s="3"/>
      <c r="D17" s="3"/>
      <c r="E17" s="3"/>
      <c r="F17" s="3"/>
      <c r="G17" s="3"/>
      <c r="H17" s="3"/>
      <c r="I17" s="3"/>
      <c r="J17" s="3"/>
      <c r="K17" s="3"/>
      <c r="L17" s="3"/>
      <c r="M17" s="3"/>
      <c r="N17" s="3"/>
      <c r="O17" s="3"/>
      <c r="P17" s="3"/>
      <c r="Q17" s="3"/>
      <c r="R17" s="3"/>
      <c r="S17" s="3"/>
      <c r="T17" s="3"/>
      <c r="U17" s="3"/>
      <c r="V17" s="3"/>
      <c r="W17" s="3"/>
      <c r="X17" s="3"/>
      <c r="Y17" s="3"/>
    </row>
    <row r="18" spans="1:25">
      <c r="A18" s="3"/>
      <c r="B18" s="3"/>
      <c r="C18" s="3"/>
      <c r="D18" s="3"/>
      <c r="E18" s="3"/>
      <c r="F18" s="3"/>
      <c r="G18" s="3"/>
      <c r="H18" s="3"/>
      <c r="I18" s="3"/>
      <c r="J18" s="3"/>
      <c r="K18" s="3"/>
      <c r="L18" s="3"/>
      <c r="M18" s="3"/>
      <c r="N18" s="3"/>
      <c r="O18" s="3"/>
      <c r="P18" s="3"/>
      <c r="Q18" s="3"/>
      <c r="R18" s="3"/>
      <c r="S18" s="3"/>
      <c r="T18" s="3"/>
      <c r="U18" s="3"/>
      <c r="V18" s="3"/>
      <c r="W18" s="3"/>
      <c r="X18" s="3"/>
      <c r="Y18" s="3"/>
    </row>
    <row r="19" spans="1:25">
      <c r="A19" s="3"/>
      <c r="B19" s="3"/>
      <c r="C19" s="3"/>
      <c r="D19" s="3"/>
      <c r="E19" s="3"/>
      <c r="F19" s="3"/>
      <c r="G19" s="3"/>
      <c r="H19" s="3"/>
      <c r="I19" s="3"/>
      <c r="J19" s="3"/>
      <c r="K19" s="3"/>
      <c r="L19" s="3"/>
      <c r="M19" s="3"/>
      <c r="N19" s="3"/>
      <c r="O19" s="3"/>
      <c r="P19" s="3"/>
      <c r="Q19" s="3"/>
      <c r="R19" s="3"/>
      <c r="S19" s="3"/>
      <c r="T19" s="3"/>
      <c r="U19" s="3"/>
      <c r="V19" s="3"/>
      <c r="W19" s="3"/>
      <c r="X19" s="3"/>
      <c r="Y19" s="3"/>
    </row>
    <row r="20" spans="1:25">
      <c r="A20" s="3"/>
      <c r="B20" s="3"/>
      <c r="C20" s="3"/>
      <c r="D20" s="3"/>
      <c r="E20" s="3"/>
      <c r="F20" s="3"/>
      <c r="G20" s="3"/>
      <c r="H20" s="3"/>
      <c r="I20" s="3"/>
      <c r="J20" s="3"/>
      <c r="K20" s="3"/>
      <c r="L20" s="3"/>
      <c r="M20" s="3"/>
      <c r="N20" s="3"/>
      <c r="O20" s="3"/>
      <c r="P20" s="3"/>
      <c r="Q20" s="3"/>
      <c r="R20" s="3"/>
      <c r="S20" s="3"/>
      <c r="T20" s="3"/>
      <c r="U20" s="3"/>
      <c r="V20" s="3"/>
      <c r="W20" s="3"/>
      <c r="X20" s="3"/>
      <c r="Y20" s="3"/>
    </row>
    <row r="21" spans="1:25">
      <c r="A21" s="3"/>
      <c r="B21" s="3"/>
      <c r="C21" s="3"/>
      <c r="D21" s="3"/>
      <c r="E21" s="3"/>
      <c r="F21" s="3"/>
      <c r="G21" s="3"/>
      <c r="H21" s="3"/>
      <c r="I21" s="3"/>
      <c r="J21" s="3"/>
      <c r="K21" s="3"/>
      <c r="L21" s="3"/>
      <c r="M21" s="3"/>
      <c r="N21" s="3"/>
      <c r="O21" s="3"/>
      <c r="P21" s="3"/>
      <c r="Q21" s="3"/>
      <c r="R21" s="3"/>
      <c r="S21" s="3"/>
      <c r="T21" s="3"/>
      <c r="U21" s="3"/>
      <c r="V21" s="3"/>
      <c r="W21" s="3"/>
      <c r="X21" s="3"/>
      <c r="Y21" s="3"/>
    </row>
    <row r="22" spans="1:25">
      <c r="A22" s="3"/>
      <c r="B22" s="3"/>
      <c r="C22" s="3"/>
      <c r="D22" s="3"/>
      <c r="E22" s="3"/>
      <c r="F22" s="3"/>
      <c r="G22" s="3"/>
      <c r="H22" s="3"/>
      <c r="I22" s="3"/>
      <c r="J22" s="3"/>
      <c r="K22" s="3"/>
      <c r="L22" s="3"/>
      <c r="M22" s="3"/>
      <c r="N22" s="3"/>
      <c r="O22" s="3"/>
      <c r="P22" s="3"/>
      <c r="Q22" s="3"/>
      <c r="R22" s="3"/>
      <c r="S22" s="3"/>
      <c r="T22" s="3"/>
      <c r="U22" s="3"/>
      <c r="V22" s="3"/>
      <c r="W22" s="3"/>
      <c r="X22" s="3"/>
      <c r="Y22" s="3"/>
    </row>
    <row r="23" spans="1:25">
      <c r="A23" s="3"/>
      <c r="B23" s="3"/>
      <c r="C23" s="3"/>
      <c r="D23" s="3"/>
      <c r="E23" s="3"/>
      <c r="F23" s="3"/>
      <c r="G23" s="3"/>
      <c r="H23" s="3"/>
      <c r="I23" s="3"/>
      <c r="J23" s="3"/>
      <c r="K23" s="3"/>
      <c r="L23" s="3"/>
      <c r="M23" s="3"/>
      <c r="N23" s="3"/>
      <c r="O23" s="3"/>
      <c r="P23" s="3"/>
      <c r="Q23" s="3"/>
      <c r="R23" s="3"/>
      <c r="S23" s="3"/>
      <c r="T23" s="3"/>
      <c r="U23" s="3"/>
      <c r="V23" s="3"/>
      <c r="W23" s="3"/>
      <c r="X23" s="3"/>
      <c r="Y23" s="3"/>
    </row>
    <row r="24" spans="1:25">
      <c r="A24" s="3"/>
      <c r="B24" s="3"/>
      <c r="C24" s="3"/>
      <c r="D24" s="3"/>
      <c r="E24" s="3"/>
      <c r="F24" s="3"/>
      <c r="G24" s="3"/>
      <c r="H24" s="3"/>
      <c r="I24" s="3"/>
      <c r="J24" s="3"/>
      <c r="K24" s="3"/>
      <c r="L24" s="3"/>
      <c r="M24" s="3"/>
      <c r="N24" s="3"/>
      <c r="O24" s="3"/>
      <c r="P24" s="3"/>
      <c r="Q24" s="3"/>
      <c r="R24" s="3"/>
      <c r="S24" s="3"/>
      <c r="T24" s="3"/>
      <c r="U24" s="3"/>
      <c r="V24" s="3"/>
      <c r="W24" s="3"/>
      <c r="X24" s="3"/>
      <c r="Y24" s="3"/>
    </row>
    <row r="25" spans="1:25">
      <c r="A25" s="3"/>
      <c r="B25" s="3"/>
      <c r="C25" s="3"/>
      <c r="D25" s="3"/>
      <c r="E25" s="3"/>
      <c r="F25" s="3"/>
      <c r="G25" s="3"/>
      <c r="H25" s="3"/>
      <c r="I25" s="3"/>
      <c r="J25" s="3"/>
      <c r="K25" s="3"/>
      <c r="L25" s="3"/>
      <c r="M25" s="3"/>
      <c r="N25" s="3"/>
      <c r="O25" s="3"/>
      <c r="P25" s="3"/>
      <c r="Q25" s="3"/>
      <c r="R25" s="3"/>
      <c r="S25" s="3"/>
      <c r="T25" s="3"/>
      <c r="U25" s="3"/>
      <c r="V25" s="3"/>
      <c r="W25" s="3"/>
      <c r="X25" s="3"/>
      <c r="Y25" s="3"/>
    </row>
    <row r="26" spans="1:25">
      <c r="A26" s="3"/>
      <c r="B26" s="3"/>
      <c r="C26" s="3"/>
      <c r="D26" s="3"/>
      <c r="E26" s="3"/>
      <c r="F26" s="3"/>
      <c r="G26" s="3"/>
      <c r="H26" s="3"/>
      <c r="I26" s="3"/>
      <c r="J26" s="3"/>
      <c r="K26" s="3"/>
      <c r="L26" s="3"/>
      <c r="M26" s="3"/>
      <c r="N26" s="3"/>
      <c r="O26" s="3"/>
      <c r="P26" s="3"/>
      <c r="Q26" s="3"/>
      <c r="R26" s="3"/>
      <c r="S26" s="3"/>
      <c r="T26" s="3"/>
      <c r="U26" s="3"/>
      <c r="V26" s="3"/>
      <c r="W26" s="3"/>
      <c r="X26" s="3"/>
      <c r="Y26" s="3"/>
    </row>
    <row r="27" spans="1:25">
      <c r="A27" s="3"/>
      <c r="B27" s="3"/>
      <c r="C27" s="3"/>
      <c r="D27" s="3"/>
      <c r="E27" s="3"/>
      <c r="F27" s="3"/>
      <c r="G27" s="3"/>
      <c r="H27" s="3"/>
      <c r="I27" s="3"/>
      <c r="J27" s="3"/>
      <c r="K27" s="3"/>
      <c r="L27" s="3"/>
      <c r="M27" s="3"/>
      <c r="N27" s="3"/>
      <c r="O27" s="3"/>
      <c r="P27" s="3"/>
      <c r="Q27" s="3"/>
      <c r="R27" s="3"/>
      <c r="S27" s="3"/>
      <c r="T27" s="3"/>
      <c r="U27" s="3"/>
      <c r="V27" s="3"/>
      <c r="W27" s="3"/>
      <c r="X27" s="3"/>
      <c r="Y27" s="3"/>
    </row>
    <row r="28" spans="1:25">
      <c r="A28" s="3"/>
      <c r="B28" s="3"/>
      <c r="C28" s="3"/>
      <c r="D28" s="3"/>
      <c r="E28" s="3"/>
      <c r="F28" s="3"/>
      <c r="G28" s="3"/>
      <c r="H28" s="3"/>
      <c r="I28" s="3"/>
      <c r="J28" s="3"/>
      <c r="K28" s="3"/>
      <c r="L28" s="3"/>
      <c r="M28" s="3"/>
      <c r="N28" s="3"/>
      <c r="O28" s="3"/>
      <c r="P28" s="3"/>
      <c r="Q28" s="3"/>
      <c r="R28" s="3"/>
      <c r="S28" s="3"/>
      <c r="T28" s="3"/>
      <c r="U28" s="3"/>
      <c r="V28" s="3"/>
      <c r="W28" s="3"/>
      <c r="X28" s="3"/>
      <c r="Y28" s="3"/>
    </row>
    <row r="29" spans="1:25">
      <c r="A29" s="3"/>
      <c r="B29" s="3"/>
      <c r="C29" s="3"/>
      <c r="D29" s="3"/>
      <c r="E29" s="3"/>
      <c r="F29" s="3"/>
      <c r="G29" s="3"/>
      <c r="H29" s="3"/>
      <c r="I29" s="3"/>
      <c r="J29" s="3"/>
      <c r="K29" s="3"/>
      <c r="L29" s="3"/>
      <c r="M29" s="3"/>
      <c r="N29" s="3"/>
      <c r="O29" s="3"/>
      <c r="P29" s="3"/>
      <c r="Q29" s="3"/>
      <c r="R29" s="3"/>
      <c r="S29" s="3"/>
      <c r="T29" s="3"/>
      <c r="U29" s="3"/>
      <c r="V29" s="3"/>
      <c r="W29" s="3"/>
      <c r="X29" s="3"/>
      <c r="Y29" s="3"/>
    </row>
    <row r="30" spans="1:25">
      <c r="A30" s="3"/>
      <c r="B30" s="3"/>
      <c r="C30" s="3"/>
      <c r="D30" s="3"/>
      <c r="E30" s="3"/>
      <c r="F30" s="3"/>
      <c r="G30" s="3"/>
      <c r="H30" s="3"/>
      <c r="I30" s="3"/>
      <c r="J30" s="3"/>
      <c r="K30" s="3"/>
      <c r="L30" s="3"/>
      <c r="M30" s="3"/>
      <c r="N30" s="3"/>
      <c r="O30" s="3"/>
      <c r="P30" s="3"/>
      <c r="Q30" s="3"/>
      <c r="R30" s="3"/>
      <c r="S30" s="3"/>
      <c r="T30" s="3"/>
      <c r="U30" s="3"/>
      <c r="V30" s="3"/>
      <c r="W30" s="3"/>
      <c r="X30" s="3"/>
      <c r="Y30" s="3"/>
    </row>
    <row r="31" spans="1:25">
      <c r="A31" s="3"/>
      <c r="B31" s="3"/>
      <c r="C31" s="3"/>
      <c r="D31" s="3"/>
      <c r="E31" s="3"/>
      <c r="F31" s="3"/>
      <c r="G31" s="3"/>
      <c r="H31" s="3"/>
      <c r="I31" s="3"/>
      <c r="J31" s="3"/>
      <c r="K31" s="3"/>
      <c r="L31" s="3"/>
      <c r="M31" s="3"/>
      <c r="N31" s="3"/>
      <c r="O31" s="3"/>
      <c r="P31" s="3"/>
      <c r="Q31" s="3"/>
      <c r="R31" s="3"/>
      <c r="S31" s="3"/>
      <c r="T31" s="3"/>
      <c r="U31" s="3"/>
      <c r="V31" s="3"/>
      <c r="W31" s="3"/>
      <c r="X31" s="3"/>
      <c r="Y31" s="3"/>
    </row>
    <row r="32" spans="1:25">
      <c r="A32" s="3"/>
      <c r="B32" s="3"/>
      <c r="C32" s="3"/>
      <c r="D32" s="3"/>
      <c r="E32" s="3"/>
      <c r="F32" s="3"/>
      <c r="G32" s="3"/>
      <c r="H32" s="3"/>
      <c r="I32" s="3"/>
      <c r="J32" s="3"/>
      <c r="K32" s="3"/>
      <c r="L32" s="3"/>
      <c r="M32" s="3"/>
      <c r="N32" s="3"/>
      <c r="O32" s="3"/>
      <c r="P32" s="3"/>
      <c r="Q32" s="3"/>
      <c r="R32" s="3"/>
      <c r="S32" s="3"/>
      <c r="T32" s="3"/>
      <c r="U32" s="3"/>
      <c r="V32" s="3"/>
      <c r="W32" s="3"/>
      <c r="X32" s="3"/>
      <c r="Y32" s="3"/>
    </row>
    <row r="33" spans="1:25">
      <c r="A33" s="3"/>
      <c r="B33" s="3"/>
      <c r="C33" s="3"/>
      <c r="D33" s="3"/>
      <c r="E33" s="3"/>
      <c r="F33" s="3"/>
      <c r="G33" s="3"/>
      <c r="H33" s="3"/>
      <c r="I33" s="3"/>
      <c r="J33" s="3"/>
      <c r="K33" s="3"/>
      <c r="L33" s="3"/>
      <c r="M33" s="3"/>
      <c r="N33" s="3"/>
      <c r="O33" s="3"/>
      <c r="P33" s="3"/>
      <c r="Q33" s="3"/>
      <c r="R33" s="3"/>
      <c r="S33" s="3"/>
      <c r="T33" s="3"/>
      <c r="U33" s="3"/>
      <c r="V33" s="3"/>
      <c r="W33" s="3"/>
      <c r="X33" s="3"/>
      <c r="Y33" s="3"/>
    </row>
    <row r="34" spans="1:25">
      <c r="A34" s="3"/>
      <c r="B34" s="3"/>
      <c r="C34" s="3"/>
      <c r="D34" s="3"/>
      <c r="E34" s="3"/>
      <c r="F34" s="3"/>
      <c r="G34" s="3"/>
      <c r="H34" s="3"/>
      <c r="I34" s="3"/>
      <c r="J34" s="3"/>
      <c r="K34" s="3"/>
      <c r="L34" s="3"/>
      <c r="M34" s="3"/>
      <c r="N34" s="3"/>
      <c r="O34" s="3"/>
      <c r="P34" s="3"/>
      <c r="Q34" s="3"/>
      <c r="R34" s="3"/>
      <c r="S34" s="3"/>
      <c r="T34" s="3"/>
      <c r="U34" s="3"/>
      <c r="V34" s="3"/>
      <c r="W34" s="3"/>
      <c r="X34" s="3"/>
      <c r="Y34" s="3"/>
    </row>
    <row r="35" spans="1:25">
      <c r="A35" s="3"/>
      <c r="B35" s="3"/>
      <c r="C35" s="3"/>
      <c r="D35" s="3"/>
      <c r="E35" s="3"/>
      <c r="F35" s="3"/>
      <c r="G35" s="3"/>
      <c r="H35" s="3"/>
      <c r="I35" s="3"/>
      <c r="J35" s="3"/>
      <c r="K35" s="3"/>
      <c r="L35" s="3"/>
      <c r="M35" s="3"/>
      <c r="N35" s="3"/>
      <c r="O35" s="3"/>
      <c r="P35" s="3"/>
      <c r="Q35" s="3"/>
      <c r="R35" s="3"/>
      <c r="S35" s="3"/>
      <c r="T35" s="3"/>
      <c r="U35" s="3"/>
      <c r="V35" s="3"/>
      <c r="W35" s="3"/>
      <c r="X35" s="3"/>
      <c r="Y35" s="3"/>
    </row>
    <row r="36" spans="1:25">
      <c r="A36" s="3"/>
      <c r="B36" s="3"/>
      <c r="C36" s="3"/>
      <c r="D36" s="3"/>
      <c r="E36" s="3"/>
      <c r="F36" s="3"/>
      <c r="G36" s="3"/>
      <c r="H36" s="3"/>
      <c r="I36" s="3"/>
      <c r="J36" s="3"/>
      <c r="K36" s="3"/>
      <c r="L36" s="3"/>
      <c r="M36" s="3"/>
      <c r="N36" s="3"/>
      <c r="O36" s="3"/>
      <c r="P36" s="3"/>
      <c r="Q36" s="3"/>
      <c r="R36" s="3"/>
      <c r="S36" s="3"/>
      <c r="T36" s="3"/>
      <c r="U36" s="3"/>
      <c r="V36" s="3"/>
      <c r="W36" s="3"/>
      <c r="X36" s="3"/>
      <c r="Y36" s="3"/>
    </row>
    <row r="37" spans="1:25">
      <c r="A37" s="3"/>
      <c r="B37" s="3"/>
      <c r="C37" s="3"/>
      <c r="D37" s="3"/>
      <c r="E37" s="3"/>
      <c r="F37" s="3"/>
      <c r="G37" s="3"/>
      <c r="H37" s="3"/>
      <c r="I37" s="3"/>
      <c r="J37" s="3"/>
      <c r="K37" s="3"/>
      <c r="L37" s="3"/>
      <c r="M37" s="3"/>
      <c r="N37" s="3"/>
      <c r="O37" s="3"/>
      <c r="P37" s="3"/>
      <c r="Q37" s="3"/>
      <c r="R37" s="3"/>
      <c r="S37" s="3"/>
      <c r="T37" s="3"/>
      <c r="U37" s="3"/>
      <c r="V37" s="3"/>
      <c r="W37" s="3"/>
      <c r="X37" s="3"/>
      <c r="Y37" s="3"/>
    </row>
    <row r="38" spans="1:25">
      <c r="A38" s="3"/>
      <c r="B38" s="3"/>
      <c r="C38" s="3"/>
      <c r="D38" s="3"/>
      <c r="E38" s="3"/>
      <c r="F38" s="3"/>
      <c r="G38" s="3"/>
      <c r="H38" s="3"/>
      <c r="I38" s="3"/>
      <c r="J38" s="3"/>
      <c r="K38" s="3"/>
      <c r="L38" s="3"/>
      <c r="M38" s="3"/>
      <c r="N38" s="3"/>
      <c r="O38" s="3"/>
      <c r="P38" s="3"/>
      <c r="Q38" s="3"/>
      <c r="R38" s="3"/>
      <c r="S38" s="3"/>
      <c r="T38" s="3"/>
      <c r="U38" s="3"/>
      <c r="V38" s="3"/>
      <c r="W38" s="3"/>
      <c r="X38" s="3"/>
      <c r="Y38" s="3"/>
    </row>
    <row r="39" spans="1:25">
      <c r="A39" s="3"/>
      <c r="B39" s="3"/>
      <c r="C39" s="3"/>
      <c r="D39" s="3"/>
      <c r="E39" s="3"/>
      <c r="F39" s="3"/>
      <c r="G39" s="3"/>
      <c r="H39" s="3"/>
      <c r="I39" s="3"/>
      <c r="J39" s="3"/>
      <c r="K39" s="3"/>
      <c r="L39" s="3"/>
      <c r="M39" s="3"/>
      <c r="N39" s="3"/>
      <c r="O39" s="3"/>
      <c r="P39" s="3"/>
      <c r="Q39" s="3"/>
      <c r="R39" s="3"/>
      <c r="S39" s="3"/>
      <c r="T39" s="3"/>
      <c r="U39" s="3"/>
      <c r="V39" s="3"/>
      <c r="W39" s="3"/>
      <c r="X39" s="3"/>
      <c r="Y39" s="3"/>
    </row>
    <row r="40" spans="1:25">
      <c r="A40" s="3"/>
      <c r="B40" s="3"/>
      <c r="C40" s="3"/>
      <c r="D40" s="3"/>
      <c r="E40" s="3"/>
      <c r="F40" s="3"/>
      <c r="G40" s="3"/>
      <c r="H40" s="3"/>
      <c r="I40" s="3"/>
      <c r="J40" s="3"/>
      <c r="K40" s="3"/>
      <c r="L40" s="3"/>
      <c r="M40" s="3"/>
      <c r="N40" s="3"/>
      <c r="O40" s="3"/>
      <c r="P40" s="3"/>
      <c r="Q40" s="3"/>
      <c r="R40" s="3"/>
      <c r="S40" s="3"/>
      <c r="T40" s="3"/>
      <c r="U40" s="3"/>
      <c r="V40" s="3"/>
      <c r="W40" s="3"/>
      <c r="X40" s="3"/>
      <c r="Y40" s="3"/>
    </row>
    <row r="41" spans="1:25">
      <c r="A41" s="3"/>
      <c r="B41" s="3"/>
      <c r="C41" s="3"/>
      <c r="D41" s="3"/>
      <c r="E41" s="3"/>
      <c r="F41" s="3"/>
      <c r="G41" s="3"/>
      <c r="H41" s="3"/>
      <c r="I41" s="3"/>
      <c r="J41" s="3"/>
      <c r="K41" s="3"/>
      <c r="L41" s="3"/>
      <c r="M41" s="3"/>
      <c r="N41" s="3"/>
      <c r="O41" s="3"/>
      <c r="P41" s="3"/>
      <c r="Q41" s="3"/>
      <c r="R41" s="3"/>
      <c r="S41" s="3"/>
      <c r="T41" s="3"/>
      <c r="U41" s="3"/>
      <c r="V41" s="3"/>
      <c r="W41" s="3"/>
      <c r="X41" s="3"/>
      <c r="Y41" s="3"/>
    </row>
    <row r="42" spans="1:25">
      <c r="A42" s="3"/>
      <c r="B42" s="3"/>
      <c r="C42" s="3"/>
      <c r="D42" s="3"/>
      <c r="E42" s="3"/>
      <c r="F42" s="3"/>
      <c r="G42" s="3"/>
      <c r="H42" s="3"/>
      <c r="I42" s="3"/>
      <c r="J42" s="3"/>
      <c r="K42" s="3"/>
      <c r="L42" s="3"/>
      <c r="M42" s="3"/>
      <c r="N42" s="3"/>
      <c r="O42" s="3"/>
      <c r="P42" s="3"/>
      <c r="Q42" s="3"/>
      <c r="R42" s="3"/>
      <c r="S42" s="3"/>
      <c r="T42" s="3"/>
      <c r="U42" s="3"/>
      <c r="V42" s="3"/>
      <c r="W42" s="3"/>
      <c r="X42" s="3"/>
      <c r="Y42" s="3"/>
    </row>
    <row r="43" spans="1:25">
      <c r="A43" s="2"/>
      <c r="B43" s="2"/>
      <c r="C43" s="2"/>
      <c r="D43" s="2"/>
      <c r="E43" s="2"/>
      <c r="F43" s="2"/>
      <c r="G43" s="2"/>
      <c r="H43" s="2"/>
      <c r="I43" s="2"/>
      <c r="J43" s="2"/>
      <c r="K43" s="2"/>
      <c r="L43" s="2"/>
      <c r="M43" s="2"/>
      <c r="N43" s="2"/>
      <c r="O43" s="2"/>
      <c r="P43" s="2"/>
      <c r="Q43" s="2"/>
      <c r="R43" s="2"/>
      <c r="S43" s="2"/>
      <c r="T43" s="2"/>
      <c r="U43" s="2"/>
      <c r="V43" s="2"/>
      <c r="W43" s="2"/>
      <c r="X43" s="2"/>
      <c r="Y43" s="2"/>
    </row>
    <row r="44" spans="1:25">
      <c r="A44" s="2"/>
      <c r="B44" s="2"/>
      <c r="C44" s="2"/>
      <c r="D44" s="2"/>
      <c r="E44" s="2"/>
      <c r="F44" s="2"/>
      <c r="G44" s="2"/>
      <c r="H44" s="2"/>
      <c r="I44" s="2"/>
      <c r="J44" s="2"/>
      <c r="K44" s="2"/>
      <c r="L44" s="2"/>
      <c r="M44" s="2"/>
      <c r="N44" s="2"/>
      <c r="O44" s="2"/>
      <c r="P44" s="2"/>
      <c r="Q44" s="2"/>
      <c r="R44" s="2"/>
      <c r="S44" s="2"/>
      <c r="T44" s="2"/>
      <c r="U44" s="2"/>
      <c r="V44" s="2"/>
      <c r="W44" s="2"/>
      <c r="X44" s="2"/>
      <c r="Y44" s="2"/>
    </row>
    <row r="45" spans="1:25">
      <c r="A45" s="2"/>
      <c r="B45" s="2"/>
      <c r="C45" s="2"/>
      <c r="D45" s="2"/>
      <c r="E45" s="2"/>
      <c r="F45" s="2"/>
      <c r="G45" s="2"/>
      <c r="H45" s="2"/>
      <c r="I45" s="2"/>
      <c r="J45" s="2"/>
      <c r="K45" s="2"/>
      <c r="L45" s="2"/>
      <c r="M45" s="2"/>
      <c r="N45" s="2"/>
      <c r="O45" s="2"/>
      <c r="P45" s="2"/>
      <c r="Q45" s="2"/>
      <c r="R45" s="2"/>
      <c r="S45" s="2"/>
      <c r="T45" s="2"/>
      <c r="U45" s="2"/>
      <c r="V45" s="2"/>
      <c r="W45" s="2"/>
      <c r="X45" s="2"/>
      <c r="Y45" s="2"/>
    </row>
    <row r="46" spans="1:25">
      <c r="A46" s="2"/>
      <c r="B46" s="2"/>
      <c r="C46" s="2"/>
      <c r="D46" s="2"/>
      <c r="E46" s="2"/>
      <c r="F46" s="2"/>
      <c r="G46" s="2"/>
      <c r="H46" s="2"/>
      <c r="I46" s="2"/>
      <c r="J46" s="2"/>
      <c r="K46" s="2"/>
      <c r="L46" s="2"/>
      <c r="M46" s="2"/>
      <c r="N46" s="2"/>
      <c r="O46" s="2"/>
      <c r="P46" s="2"/>
      <c r="Q46" s="2"/>
      <c r="R46" s="2"/>
      <c r="S46" s="2"/>
      <c r="T46" s="2"/>
      <c r="U46" s="2"/>
      <c r="V46" s="2"/>
      <c r="W46" s="2"/>
      <c r="X46" s="2"/>
      <c r="Y46" s="2"/>
    </row>
    <row r="47" spans="1:25">
      <c r="A47" s="2"/>
      <c r="B47" s="2"/>
      <c r="C47" s="2"/>
      <c r="D47" s="2"/>
      <c r="E47" s="2"/>
      <c r="F47" s="2"/>
      <c r="G47" s="2"/>
      <c r="H47" s="2"/>
      <c r="I47" s="2"/>
      <c r="J47" s="2"/>
      <c r="K47" s="2"/>
      <c r="L47" s="2"/>
      <c r="M47" s="2"/>
      <c r="N47" s="2"/>
      <c r="O47" s="2"/>
      <c r="P47" s="2"/>
      <c r="Q47" s="2"/>
      <c r="R47" s="2"/>
      <c r="S47" s="2"/>
      <c r="T47" s="2"/>
      <c r="U47" s="2"/>
      <c r="V47" s="2"/>
      <c r="W47" s="2"/>
      <c r="X47" s="2"/>
      <c r="Y47" s="2"/>
    </row>
    <row r="48" spans="1:25">
      <c r="A48" s="2"/>
      <c r="B48" s="2"/>
      <c r="C48" s="2"/>
      <c r="D48" s="2"/>
      <c r="E48" s="2"/>
      <c r="F48" s="2"/>
      <c r="G48" s="2"/>
      <c r="H48" s="2"/>
      <c r="I48" s="2"/>
      <c r="J48" s="2"/>
      <c r="K48" s="2"/>
      <c r="L48" s="2"/>
      <c r="M48" s="2"/>
      <c r="N48" s="2"/>
      <c r="O48" s="2"/>
      <c r="P48" s="2"/>
      <c r="Q48" s="2"/>
      <c r="R48" s="2"/>
      <c r="S48" s="2"/>
      <c r="T48" s="2"/>
      <c r="U48" s="2"/>
      <c r="V48" s="2"/>
      <c r="W48" s="2"/>
      <c r="X48" s="2"/>
      <c r="Y48" s="2"/>
    </row>
    <row r="49" spans="1:25">
      <c r="A49" s="2"/>
      <c r="B49" s="2"/>
      <c r="C49" s="2"/>
      <c r="D49" s="2"/>
      <c r="E49" s="2"/>
      <c r="F49" s="2"/>
      <c r="G49" s="2"/>
      <c r="H49" s="2"/>
      <c r="I49" s="2"/>
      <c r="J49" s="2"/>
      <c r="K49" s="2"/>
      <c r="L49" s="2"/>
      <c r="M49" s="2"/>
      <c r="N49" s="2"/>
      <c r="O49" s="2"/>
      <c r="P49" s="2"/>
      <c r="Q49" s="2"/>
      <c r="R49" s="2"/>
      <c r="S49" s="2"/>
      <c r="T49" s="2"/>
      <c r="U49" s="2"/>
      <c r="V49" s="2"/>
      <c r="W49" s="2"/>
      <c r="X49" s="2"/>
      <c r="Y49" s="2"/>
    </row>
    <row r="50" spans="1:25">
      <c r="A50" s="2"/>
      <c r="B50" s="2"/>
      <c r="C50" s="2"/>
      <c r="D50" s="2"/>
      <c r="E50" s="2"/>
      <c r="F50" s="2"/>
      <c r="G50" s="2"/>
      <c r="H50" s="2"/>
      <c r="I50" s="2"/>
      <c r="J50" s="2"/>
      <c r="K50" s="2"/>
      <c r="L50" s="2"/>
      <c r="M50" s="2"/>
      <c r="N50" s="2"/>
      <c r="O50" s="2"/>
      <c r="P50" s="2"/>
      <c r="Q50" s="2"/>
      <c r="R50" s="2"/>
      <c r="S50" s="2"/>
      <c r="T50" s="2"/>
      <c r="U50" s="2"/>
      <c r="V50" s="2"/>
      <c r="W50" s="2"/>
      <c r="X50" s="2"/>
      <c r="Y50" s="2"/>
    </row>
    <row r="51" spans="1:25">
      <c r="A51" s="2"/>
      <c r="B51" s="2"/>
      <c r="C51" s="2"/>
      <c r="D51" s="2"/>
      <c r="E51" s="2"/>
      <c r="F51" s="2"/>
      <c r="G51" s="2"/>
      <c r="H51" s="2"/>
      <c r="I51" s="2"/>
      <c r="J51" s="2"/>
      <c r="K51" s="2"/>
      <c r="L51" s="2"/>
      <c r="M51" s="2"/>
      <c r="N51" s="2"/>
      <c r="O51" s="2"/>
      <c r="P51" s="2"/>
      <c r="Q51" s="2"/>
      <c r="R51" s="2"/>
      <c r="S51" s="2"/>
      <c r="T51" s="2"/>
      <c r="U51" s="2"/>
      <c r="V51" s="2"/>
      <c r="W51" s="2"/>
      <c r="X51" s="2"/>
      <c r="Y51" s="2"/>
    </row>
    <row r="52" spans="1:25">
      <c r="A52" s="2"/>
      <c r="B52" s="2"/>
      <c r="C52" s="2"/>
      <c r="D52" s="2"/>
      <c r="E52" s="2"/>
      <c r="F52" s="2"/>
      <c r="G52" s="2"/>
      <c r="H52" s="2"/>
      <c r="I52" s="2"/>
      <c r="J52" s="2"/>
      <c r="K52" s="2"/>
      <c r="L52" s="2"/>
      <c r="M52" s="2"/>
      <c r="N52" s="2"/>
      <c r="O52" s="2"/>
      <c r="P52" s="2"/>
      <c r="Q52" s="2"/>
      <c r="R52" s="2"/>
      <c r="S52" s="2"/>
      <c r="T52" s="2"/>
      <c r="U52" s="2"/>
      <c r="V52" s="2"/>
      <c r="W52" s="2"/>
      <c r="X52" s="2"/>
      <c r="Y52" s="2"/>
    </row>
  </sheetData>
  <sheetProtection sheet="1" objects="1" scenario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6F5CD7A-B48C-4152-B101-FE959C147306}"/>
</file>

<file path=customXml/itemProps2.xml><?xml version="1.0" encoding="utf-8"?>
<ds:datastoreItem xmlns:ds="http://schemas.openxmlformats.org/officeDocument/2006/customXml" ds:itemID="{4D2E8961-8663-4A2E-8676-198236C29B38}"/>
</file>

<file path=customXml/itemProps3.xml><?xml version="1.0" encoding="utf-8"?>
<ds:datastoreItem xmlns:ds="http://schemas.openxmlformats.org/officeDocument/2006/customXml" ds:itemID="{FBC521E0-A23F-4B35-920C-4402466EDABC}"/>
</file>

<file path=customXml/itemProps4.xml><?xml version="1.0" encoding="utf-8"?>
<ds:datastoreItem xmlns:ds="http://schemas.openxmlformats.org/officeDocument/2006/customXml" ds:itemID="{C37BD98F-52A1-4CB2-B3B5-C6BF81E2A0F9}"/>
</file>

<file path=customXml/itemProps5.xml><?xml version="1.0" encoding="utf-8"?>
<ds:datastoreItem xmlns:ds="http://schemas.openxmlformats.org/officeDocument/2006/customXml" ds:itemID="{237A0EBE-3F60-485A-B45C-0D23A7B74FBA}"/>
</file>

<file path=customXml/itemProps6.xml><?xml version="1.0" encoding="utf-8"?>
<ds:datastoreItem xmlns:ds="http://schemas.openxmlformats.org/officeDocument/2006/customXml" ds:itemID="{CFF46CD4-B2C9-4711-AF9F-AC41562D1D6F}"/>
</file>

<file path=customXml/itemProps7.xml><?xml version="1.0" encoding="utf-8"?>
<ds:datastoreItem xmlns:ds="http://schemas.openxmlformats.org/officeDocument/2006/customXml" ds:itemID="{DC225339-7019-47FF-BA99-BBBC7AC0FF71}"/>
</file>

<file path=customXml/itemProps8.xml><?xml version="1.0" encoding="utf-8"?>
<ds:datastoreItem xmlns:ds="http://schemas.openxmlformats.org/officeDocument/2006/customXml" ds:itemID="{9C93EDA6-4E0A-4A6B-97D0-285CF174EA32}"/>
</file>

<file path=customXml/itemProps9.xml><?xml version="1.0" encoding="utf-8"?>
<ds:datastoreItem xmlns:ds="http://schemas.openxmlformats.org/officeDocument/2006/customXml" ds:itemID="{4DFBA72D-55F9-4232-A993-FC0618348AC7}"/>
</file>

<file path=customXml/itemProps10.xml><?xml version="1.0" encoding="utf-8"?>
<ds:datastoreItem xmlns:ds="http://schemas.openxmlformats.org/officeDocument/2006/customXml" ds:itemID="{24D090E5-73CC-44CE-A0B4-BEA2AB6ECC37}"/>
</file>

<file path=customXml/itemProps11.xml><?xml version="1.0" encoding="utf-8"?>
<ds:datastoreItem xmlns:ds="http://schemas.openxmlformats.org/officeDocument/2006/customXml" ds:itemID="{E4FE1D58-2B8A-4E48-B2E7-EF8E954EDD04}"/>
</file>

<file path=customXml/itemProps12.xml><?xml version="1.0" encoding="utf-8"?>
<ds:datastoreItem xmlns:ds="http://schemas.openxmlformats.org/officeDocument/2006/customXml" ds:itemID="{EE415C20-FDD0-4FA8-87DF-FD534D8F1653}"/>
</file>

<file path=customXml/itemProps13.xml><?xml version="1.0" encoding="utf-8"?>
<ds:datastoreItem xmlns:ds="http://schemas.openxmlformats.org/officeDocument/2006/customXml" ds:itemID="{4F6D8055-61EA-4E8C-A322-2FA455673072}"/>
</file>

<file path=customXml/itemProps14.xml><?xml version="1.0" encoding="utf-8"?>
<ds:datastoreItem xmlns:ds="http://schemas.openxmlformats.org/officeDocument/2006/customXml" ds:itemID="{A043C72E-8CA4-402C-B1A9-89AEBE7C20F5}"/>
</file>

<file path=customXml/itemProps15.xml><?xml version="1.0" encoding="utf-8"?>
<ds:datastoreItem xmlns:ds="http://schemas.openxmlformats.org/officeDocument/2006/customXml" ds:itemID="{37DB3ED6-1981-4B03-AED0-D0B6FAD2241A}"/>
</file>

<file path=customXml/itemProps16.xml><?xml version="1.0" encoding="utf-8"?>
<ds:datastoreItem xmlns:ds="http://schemas.openxmlformats.org/officeDocument/2006/customXml" ds:itemID="{579DA3C3-1A89-4F8E-B1CA-E9A961E7CFA0}"/>
</file>

<file path=customXml/itemProps17.xml><?xml version="1.0" encoding="utf-8"?>
<ds:datastoreItem xmlns:ds="http://schemas.openxmlformats.org/officeDocument/2006/customXml" ds:itemID="{333494E8-4B81-44B5-8DB9-7CA08FADE60F}"/>
</file>

<file path=customXml/itemProps18.xml><?xml version="1.0" encoding="utf-8"?>
<ds:datastoreItem xmlns:ds="http://schemas.openxmlformats.org/officeDocument/2006/customXml" ds:itemID="{F5232F1C-FCF6-4063-B3CC-99F88DA6F20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 Gram</dc:creator>
  <cp:keywords/>
  <dc:description/>
  <cp:lastModifiedBy>Micro Gram</cp:lastModifiedBy>
  <cp:revision/>
  <dcterms:created xsi:type="dcterms:W3CDTF">2026-05-08T08:07:56Z</dcterms:created>
  <dcterms:modified xsi:type="dcterms:W3CDTF">2026-05-30T21:22:20Z</dcterms:modified>
  <cp:category/>
  <cp:contentStatus/>
</cp:coreProperties>
</file>